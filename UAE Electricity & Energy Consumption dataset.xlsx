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olphinae-my.sharepoint.com/personal/shamili_c_dolphin_ae/Documents/Documents/Shamili R&amp;D/"/>
    </mc:Choice>
  </mc:AlternateContent>
  <xr:revisionPtr revIDLastSave="7" documentId="8_{24CB9195-41EE-43C0-9B94-49DA1CD60105}" xr6:coauthVersionLast="47" xr6:coauthVersionMax="47" xr10:uidLastSave="{9DA77253-7587-49E3-8E6B-1510A0B6D1C9}"/>
  <bookViews>
    <workbookView xWindow="-120" yWindow="-120" windowWidth="29040" windowHeight="15720" activeTab="1" xr2:uid="{8BDF60C6-7EA8-4152-A71F-876195B25404}"/>
  </bookViews>
  <sheets>
    <sheet name="Master" sheetId="1" r:id="rId1"/>
    <sheet name="Sheet5" sheetId="5" r:id="rId2"/>
    <sheet name="DASHBOARD" sheetId="3" r:id="rId3"/>
  </sheets>
  <definedNames>
    <definedName name="Slicer_Category">#N/A</definedName>
    <definedName name="Slicer_Emirate">#N/A</definedName>
    <definedName name="Slicer_Year">#N/A</definedName>
  </definedNames>
  <calcPr calcId="191029"/>
  <pivotCaches>
    <pivotCache cacheId="45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alcChain>
</file>

<file path=xl/sharedStrings.xml><?xml version="1.0" encoding="utf-8"?>
<sst xmlns="http://schemas.openxmlformats.org/spreadsheetml/2006/main" count="108" uniqueCount="23">
  <si>
    <t>Year</t>
  </si>
  <si>
    <t>Emirate</t>
  </si>
  <si>
    <t>Residential_GWh</t>
  </si>
  <si>
    <t>Commercial_GWh</t>
  </si>
  <si>
    <t>Industrial_GWh</t>
  </si>
  <si>
    <t>Total_GWh</t>
  </si>
  <si>
    <t>Abu Dhabi</t>
  </si>
  <si>
    <t>Dubai</t>
  </si>
  <si>
    <t>Sharjah</t>
  </si>
  <si>
    <t>Ajman</t>
  </si>
  <si>
    <t>Ras Al Khaimah</t>
  </si>
  <si>
    <t>Row Labels</t>
  </si>
  <si>
    <t>Grand Total</t>
  </si>
  <si>
    <t>Column Labels</t>
  </si>
  <si>
    <t>&gt;50000GWh</t>
  </si>
  <si>
    <t>&gt;10000GWh</t>
  </si>
  <si>
    <t>Average of Total_GWh</t>
  </si>
  <si>
    <t>Category</t>
  </si>
  <si>
    <t>&lt;1000GWh</t>
  </si>
  <si>
    <t>Average of Residential_GWh</t>
  </si>
  <si>
    <t>Average of Commercial_GWh</t>
  </si>
  <si>
    <t>Average of Industrial_GWh</t>
  </si>
  <si>
    <t>UAE Electricity &amp; Energy Consumption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</si>
</sst>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0"/>
      <color theme="0"/>
      <name val="Aptos Narrow"/>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2" fillId="2" borderId="0" xfId="0" applyFont="1" applyFill="1" applyAlignment="1">
      <alignment horizont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Electricity &amp; Energy Consumption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Sheet5!$I$1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Sheet5!$H$2:$H$7</c:f>
              <c:strCache>
                <c:ptCount val="5"/>
                <c:pt idx="0">
                  <c:v>Abu Dhabi</c:v>
                </c:pt>
                <c:pt idx="1">
                  <c:v>Ajman</c:v>
                </c:pt>
                <c:pt idx="2">
                  <c:v>Dubai</c:v>
                </c:pt>
                <c:pt idx="3">
                  <c:v>Ras Al Khaimah</c:v>
                </c:pt>
                <c:pt idx="4">
                  <c:v>Sharjah</c:v>
                </c:pt>
              </c:strCache>
            </c:strRef>
          </c:cat>
          <c:val>
            <c:numRef>
              <c:f>Sheet5!$I$2:$I$7</c:f>
              <c:numCache>
                <c:formatCode>General</c:formatCode>
                <c:ptCount val="5"/>
                <c:pt idx="0">
                  <c:v>46133.333333333336</c:v>
                </c:pt>
                <c:pt idx="1">
                  <c:v>4148.333333333333</c:v>
                </c:pt>
                <c:pt idx="2">
                  <c:v>39750</c:v>
                </c:pt>
                <c:pt idx="3">
                  <c:v>6083.333333333333</c:v>
                </c:pt>
                <c:pt idx="4">
                  <c:v>17141.666666666668</c:v>
                </c:pt>
              </c:numCache>
            </c:numRef>
          </c:val>
          <c:extLst>
            <c:ext xmlns:c16="http://schemas.microsoft.com/office/drawing/2014/chart" uri="{C3380CC4-5D6E-409C-BE32-E72D297353CC}">
              <c16:uniqueId val="{00000000-751A-460E-90A5-A51FC6B0DA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dataset.xlsx]Sheet5!PivotTable9</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Emirates</a:t>
            </a:r>
            <a:r>
              <a:rPr lang="en-US" baseline="0"/>
              <a:t> Vs Gwh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Sheet5!$B$33:$B$34</c:f>
              <c:strCache>
                <c:ptCount val="1"/>
                <c:pt idx="0">
                  <c:v>Abu Dhabi</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Sheet5!$B$35:$B$38</c:f>
              <c:numCache>
                <c:formatCode>General</c:formatCode>
                <c:ptCount val="3"/>
                <c:pt idx="0">
                  <c:v>44920</c:v>
                </c:pt>
                <c:pt idx="2">
                  <c:v>52200</c:v>
                </c:pt>
              </c:numCache>
            </c:numRef>
          </c:val>
          <c:extLst>
            <c:ext xmlns:c16="http://schemas.microsoft.com/office/drawing/2014/chart" uri="{C3380CC4-5D6E-409C-BE32-E72D297353CC}">
              <c16:uniqueId val="{00000000-2CAF-4975-A94B-11DE57FF1B7A}"/>
            </c:ext>
          </c:extLst>
        </c:ser>
        <c:ser>
          <c:idx val="1"/>
          <c:order val="1"/>
          <c:tx>
            <c:strRef>
              <c:f>Sheet5!$C$33:$C$34</c:f>
              <c:strCache>
                <c:ptCount val="1"/>
                <c:pt idx="0">
                  <c:v>Ajman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Sheet5!$C$35:$C$38</c:f>
              <c:numCache>
                <c:formatCode>General</c:formatCode>
                <c:ptCount val="3"/>
                <c:pt idx="1">
                  <c:v>4148.333333333333</c:v>
                </c:pt>
              </c:numCache>
            </c:numRef>
          </c:val>
          <c:extLst>
            <c:ext xmlns:c16="http://schemas.microsoft.com/office/drawing/2014/chart" uri="{C3380CC4-5D6E-409C-BE32-E72D297353CC}">
              <c16:uniqueId val="{00000022-2CAF-4975-A94B-11DE57FF1B7A}"/>
            </c:ext>
          </c:extLst>
        </c:ser>
        <c:ser>
          <c:idx val="2"/>
          <c:order val="2"/>
          <c:tx>
            <c:strRef>
              <c:f>Sheet5!$D$33:$D$34</c:f>
              <c:strCache>
                <c:ptCount val="1"/>
                <c:pt idx="0">
                  <c:v>Dubai</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Sheet5!$D$35:$D$38</c:f>
              <c:numCache>
                <c:formatCode>General</c:formatCode>
                <c:ptCount val="3"/>
                <c:pt idx="0">
                  <c:v>39750</c:v>
                </c:pt>
              </c:numCache>
            </c:numRef>
          </c:val>
          <c:extLst>
            <c:ext xmlns:c16="http://schemas.microsoft.com/office/drawing/2014/chart" uri="{C3380CC4-5D6E-409C-BE32-E72D297353CC}">
              <c16:uniqueId val="{00000023-2CAF-4975-A94B-11DE57FF1B7A}"/>
            </c:ext>
          </c:extLst>
        </c:ser>
        <c:ser>
          <c:idx val="3"/>
          <c:order val="3"/>
          <c:tx>
            <c:strRef>
              <c:f>Sheet5!$E$33:$E$34</c:f>
              <c:strCache>
                <c:ptCount val="1"/>
                <c:pt idx="0">
                  <c:v>Ras Al Khaimah</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Sheet5!$E$35:$E$38</c:f>
              <c:numCache>
                <c:formatCode>General</c:formatCode>
                <c:ptCount val="3"/>
                <c:pt idx="1">
                  <c:v>6083.333333333333</c:v>
                </c:pt>
              </c:numCache>
            </c:numRef>
          </c:val>
          <c:extLst>
            <c:ext xmlns:c16="http://schemas.microsoft.com/office/drawing/2014/chart" uri="{C3380CC4-5D6E-409C-BE32-E72D297353CC}">
              <c16:uniqueId val="{00000024-2CAF-4975-A94B-11DE57FF1B7A}"/>
            </c:ext>
          </c:extLst>
        </c:ser>
        <c:ser>
          <c:idx val="4"/>
          <c:order val="4"/>
          <c:tx>
            <c:strRef>
              <c:f>Sheet5!$F$33:$F$34</c:f>
              <c:strCache>
                <c:ptCount val="1"/>
                <c:pt idx="0">
                  <c:v>Sharjah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Sheet5!$F$35:$F$38</c:f>
              <c:numCache>
                <c:formatCode>General</c:formatCode>
                <c:ptCount val="3"/>
                <c:pt idx="0">
                  <c:v>17141.666666666668</c:v>
                </c:pt>
              </c:numCache>
            </c:numRef>
          </c:val>
          <c:extLst>
            <c:ext xmlns:c16="http://schemas.microsoft.com/office/drawing/2014/chart" uri="{C3380CC4-5D6E-409C-BE32-E72D297353CC}">
              <c16:uniqueId val="{00000025-2CAF-4975-A94B-11DE57FF1B7A}"/>
            </c:ext>
          </c:extLst>
        </c:ser>
        <c:dLbls>
          <c:dLblPos val="outEnd"/>
          <c:showLegendKey val="0"/>
          <c:showVal val="1"/>
          <c:showCatName val="0"/>
          <c:showSerName val="0"/>
          <c:showPercent val="0"/>
          <c:showBubbleSize val="0"/>
        </c:dLbls>
        <c:gapWidth val="444"/>
        <c:overlap val="-90"/>
        <c:axId val="1572592960"/>
        <c:axId val="1572609760"/>
      </c:barChart>
      <c:catAx>
        <c:axId val="157259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GW</a:t>
                </a:r>
                <a:r>
                  <a:rPr lang="en-US" baseline="0"/>
                  <a:t> H Category</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2609760"/>
        <c:crosses val="autoZero"/>
        <c:auto val="1"/>
        <c:lblAlgn val="ctr"/>
        <c:lblOffset val="100"/>
        <c:noMultiLvlLbl val="0"/>
      </c:catAx>
      <c:valAx>
        <c:axId val="1572609760"/>
        <c:scaling>
          <c:orientation val="minMax"/>
        </c:scaling>
        <c:delete val="1"/>
        <c:axPos val="l"/>
        <c:numFmt formatCode="General" sourceLinked="1"/>
        <c:majorTickMark val="none"/>
        <c:minorTickMark val="none"/>
        <c:tickLblPos val="nextTo"/>
        <c:crossAx val="157259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dataset.xlsx]Sheet5!PivotTable10</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Industrial X Comemrcial</a:t>
            </a:r>
            <a:r>
              <a:rPr lang="en-US" baseline="0"/>
              <a:t> X Residential  Consumption(%)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Sheet5!$B$40</c:f>
              <c:strCache>
                <c:ptCount val="1"/>
                <c:pt idx="0">
                  <c:v>Average of Residential_GWh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Sheet5!$A$41:$A$46</c:f>
              <c:strCache>
                <c:ptCount val="5"/>
                <c:pt idx="0">
                  <c:v>Abu Dhabi</c:v>
                </c:pt>
                <c:pt idx="1">
                  <c:v>Ajman</c:v>
                </c:pt>
                <c:pt idx="2">
                  <c:v>Dubai</c:v>
                </c:pt>
                <c:pt idx="3">
                  <c:v>Ras Al Khaimah</c:v>
                </c:pt>
                <c:pt idx="4">
                  <c:v>Sharjah</c:v>
                </c:pt>
              </c:strCache>
            </c:strRef>
          </c:cat>
          <c:val>
            <c:numRef>
              <c:f>Sheet5!$B$41:$B$46</c:f>
              <c:numCache>
                <c:formatCode>General</c:formatCode>
                <c:ptCount val="5"/>
                <c:pt idx="0">
                  <c:v>20933.333333333332</c:v>
                </c:pt>
                <c:pt idx="1">
                  <c:v>2433.3333333333335</c:v>
                </c:pt>
                <c:pt idx="2">
                  <c:v>18533.333333333332</c:v>
                </c:pt>
                <c:pt idx="3">
                  <c:v>2946.6666666666665</c:v>
                </c:pt>
                <c:pt idx="4">
                  <c:v>9233.3333333333339</c:v>
                </c:pt>
              </c:numCache>
            </c:numRef>
          </c:val>
          <c:smooth val="0"/>
          <c:extLst>
            <c:ext xmlns:c16="http://schemas.microsoft.com/office/drawing/2014/chart" uri="{C3380CC4-5D6E-409C-BE32-E72D297353CC}">
              <c16:uniqueId val="{00000000-0C29-437D-9B81-386C2CFA89BA}"/>
            </c:ext>
          </c:extLst>
        </c:ser>
        <c:ser>
          <c:idx val="1"/>
          <c:order val="1"/>
          <c:tx>
            <c:strRef>
              <c:f>Sheet5!$C$40</c:f>
              <c:strCache>
                <c:ptCount val="1"/>
                <c:pt idx="0">
                  <c:v>Average of Commercial_GWh</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Sheet5!$A$41:$A$46</c:f>
              <c:strCache>
                <c:ptCount val="5"/>
                <c:pt idx="0">
                  <c:v>Abu Dhabi</c:v>
                </c:pt>
                <c:pt idx="1">
                  <c:v>Ajman</c:v>
                </c:pt>
                <c:pt idx="2">
                  <c:v>Dubai</c:v>
                </c:pt>
                <c:pt idx="3">
                  <c:v>Ras Al Khaimah</c:v>
                </c:pt>
                <c:pt idx="4">
                  <c:v>Sharjah</c:v>
                </c:pt>
              </c:strCache>
            </c:strRef>
          </c:cat>
          <c:val>
            <c:numRef>
              <c:f>Sheet5!$C$41:$C$46</c:f>
              <c:numCache>
                <c:formatCode>General</c:formatCode>
                <c:ptCount val="5"/>
                <c:pt idx="0">
                  <c:v>10000</c:v>
                </c:pt>
                <c:pt idx="1">
                  <c:v>965</c:v>
                </c:pt>
                <c:pt idx="2">
                  <c:v>10866.666666666666</c:v>
                </c:pt>
                <c:pt idx="3">
                  <c:v>1240</c:v>
                </c:pt>
                <c:pt idx="4">
                  <c:v>3483.3333333333335</c:v>
                </c:pt>
              </c:numCache>
            </c:numRef>
          </c:val>
          <c:smooth val="0"/>
          <c:extLst>
            <c:ext xmlns:c16="http://schemas.microsoft.com/office/drawing/2014/chart" uri="{C3380CC4-5D6E-409C-BE32-E72D297353CC}">
              <c16:uniqueId val="{00000001-0C29-437D-9B81-386C2CFA89BA}"/>
            </c:ext>
          </c:extLst>
        </c:ser>
        <c:ser>
          <c:idx val="2"/>
          <c:order val="2"/>
          <c:tx>
            <c:strRef>
              <c:f>Sheet5!$D$40</c:f>
              <c:strCache>
                <c:ptCount val="1"/>
                <c:pt idx="0">
                  <c:v>Average of Industrial_GWh</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Sheet5!$A$41:$A$46</c:f>
              <c:strCache>
                <c:ptCount val="5"/>
                <c:pt idx="0">
                  <c:v>Abu Dhabi</c:v>
                </c:pt>
                <c:pt idx="1">
                  <c:v>Ajman</c:v>
                </c:pt>
                <c:pt idx="2">
                  <c:v>Dubai</c:v>
                </c:pt>
                <c:pt idx="3">
                  <c:v>Ras Al Khaimah</c:v>
                </c:pt>
                <c:pt idx="4">
                  <c:v>Sharjah</c:v>
                </c:pt>
              </c:strCache>
            </c:strRef>
          </c:cat>
          <c:val>
            <c:numRef>
              <c:f>Sheet5!$D$41:$D$46</c:f>
              <c:numCache>
                <c:formatCode>General</c:formatCode>
                <c:ptCount val="5"/>
                <c:pt idx="0">
                  <c:v>15200</c:v>
                </c:pt>
                <c:pt idx="1">
                  <c:v>750</c:v>
                </c:pt>
                <c:pt idx="2">
                  <c:v>10350</c:v>
                </c:pt>
                <c:pt idx="3">
                  <c:v>1896.6666666666667</c:v>
                </c:pt>
                <c:pt idx="4">
                  <c:v>4425</c:v>
                </c:pt>
              </c:numCache>
            </c:numRef>
          </c:val>
          <c:smooth val="0"/>
          <c:extLst>
            <c:ext xmlns:c16="http://schemas.microsoft.com/office/drawing/2014/chart" uri="{C3380CC4-5D6E-409C-BE32-E72D297353CC}">
              <c16:uniqueId val="{00000002-0C29-437D-9B81-386C2CFA89B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72613600"/>
        <c:axId val="1572615040"/>
      </c:lineChart>
      <c:catAx>
        <c:axId val="15726136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615040"/>
        <c:crosses val="autoZero"/>
        <c:auto val="1"/>
        <c:lblAlgn val="ctr"/>
        <c:lblOffset val="100"/>
        <c:noMultiLvlLbl val="0"/>
      </c:catAx>
      <c:valAx>
        <c:axId val="15726150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61360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Forcast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Sheet5!$B$49</c:f>
              <c:strCache>
                <c:ptCount val="1"/>
                <c:pt idx="0">
                  <c:v>Total</c:v>
                </c:pt>
              </c:strCache>
            </c:strRef>
          </c:tx>
          <c:spPr>
            <a:solidFill>
              <a:schemeClr val="accent1"/>
            </a:solidFill>
            <a:ln>
              <a:noFill/>
            </a:ln>
            <a:effectLst/>
          </c:spPr>
          <c:invertIfNegative val="0"/>
          <c:cat>
            <c:strRef>
              <c:f>Sheet5!$A$50:$A$56</c:f>
              <c:strCache>
                <c:ptCount val="6"/>
                <c:pt idx="0">
                  <c:v>2019</c:v>
                </c:pt>
                <c:pt idx="1">
                  <c:v>2020</c:v>
                </c:pt>
                <c:pt idx="2">
                  <c:v>2021</c:v>
                </c:pt>
                <c:pt idx="3">
                  <c:v>2022</c:v>
                </c:pt>
                <c:pt idx="4">
                  <c:v>2023</c:v>
                </c:pt>
                <c:pt idx="5">
                  <c:v>2024</c:v>
                </c:pt>
              </c:strCache>
            </c:strRef>
          </c:cat>
          <c:val>
            <c:numRef>
              <c:f>Sheet5!$B$50:$B$56</c:f>
              <c:numCache>
                <c:formatCode>General</c:formatCode>
                <c:ptCount val="6"/>
                <c:pt idx="0">
                  <c:v>20760</c:v>
                </c:pt>
                <c:pt idx="1">
                  <c:v>20210</c:v>
                </c:pt>
                <c:pt idx="2">
                  <c:v>21798</c:v>
                </c:pt>
                <c:pt idx="3">
                  <c:v>23108</c:v>
                </c:pt>
                <c:pt idx="4">
                  <c:v>24330</c:v>
                </c:pt>
                <c:pt idx="5">
                  <c:v>25702</c:v>
                </c:pt>
              </c:numCache>
            </c:numRef>
          </c:val>
          <c:extLst>
            <c:ext xmlns:c16="http://schemas.microsoft.com/office/drawing/2014/chart" uri="{C3380CC4-5D6E-409C-BE32-E72D297353CC}">
              <c16:uniqueId val="{00000000-48E3-4B63-B5CD-6E2B4C51AC9F}"/>
            </c:ext>
          </c:extLst>
        </c:ser>
        <c:dLbls>
          <c:showLegendKey val="0"/>
          <c:showVal val="0"/>
          <c:showCatName val="0"/>
          <c:showSerName val="0"/>
          <c:showPercent val="0"/>
          <c:showBubbleSize val="0"/>
        </c:dLbls>
        <c:gapWidth val="219"/>
        <c:overlap val="-27"/>
        <c:axId val="1262507472"/>
        <c:axId val="1262501712"/>
      </c:barChart>
      <c:catAx>
        <c:axId val="126250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01712"/>
        <c:crosses val="autoZero"/>
        <c:auto val="1"/>
        <c:lblAlgn val="ctr"/>
        <c:lblOffset val="100"/>
        <c:noMultiLvlLbl val="0"/>
      </c:catAx>
      <c:valAx>
        <c:axId val="126250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Enrgy Consumption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0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[UAE Electricity &amp; Energy Consumption dataset.xlsx]Sheet5!PivotTable11</c:name>
    <c:fmtId val="2"/>
  </c:pivotSource>
  <c:chart>
    <c:title>
      <c:tx>
        <c:rich>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r>
              <a:rPr lang="en-US" sz="1200" b="1" i="0" u="none" strike="noStrike" kern="1200" cap="none" spc="20" normalizeH="0" baseline="0">
                <a:solidFill>
                  <a:sysClr val="windowText" lastClr="000000">
                    <a:lumMod val="50000"/>
                    <a:lumOff val="50000"/>
                  </a:sysClr>
                </a:solidFill>
                <a:latin typeface="+mn-lt"/>
                <a:ea typeface="+mn-ea"/>
                <a:cs typeface="+mn-cs"/>
              </a:rPr>
              <a:t>Year Forcast</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Sheet5!$B$49</c:f>
              <c:strCache>
                <c:ptCount val="1"/>
                <c:pt idx="0">
                  <c:v>Total</c:v>
                </c:pt>
              </c:strCache>
            </c:strRef>
          </c:tx>
          <c:spPr>
            <a:solidFill>
              <a:schemeClr val="accent5"/>
            </a:solidFill>
            <a:ln>
              <a:noFill/>
            </a:ln>
            <a:effectLst/>
          </c:spPr>
          <c:invertIfNegative val="0"/>
          <c:cat>
            <c:strRef>
              <c:f>Sheet5!$A$50:$A$56</c:f>
              <c:strCache>
                <c:ptCount val="6"/>
                <c:pt idx="0">
                  <c:v>2019</c:v>
                </c:pt>
                <c:pt idx="1">
                  <c:v>2020</c:v>
                </c:pt>
                <c:pt idx="2">
                  <c:v>2021</c:v>
                </c:pt>
                <c:pt idx="3">
                  <c:v>2022</c:v>
                </c:pt>
                <c:pt idx="4">
                  <c:v>2023</c:v>
                </c:pt>
                <c:pt idx="5">
                  <c:v>2024</c:v>
                </c:pt>
              </c:strCache>
            </c:strRef>
          </c:cat>
          <c:val>
            <c:numRef>
              <c:f>Sheet5!$B$50:$B$56</c:f>
              <c:numCache>
                <c:formatCode>General</c:formatCode>
                <c:ptCount val="6"/>
                <c:pt idx="0">
                  <c:v>20760</c:v>
                </c:pt>
                <c:pt idx="1">
                  <c:v>20210</c:v>
                </c:pt>
                <c:pt idx="2">
                  <c:v>21798</c:v>
                </c:pt>
                <c:pt idx="3">
                  <c:v>23108</c:v>
                </c:pt>
                <c:pt idx="4">
                  <c:v>24330</c:v>
                </c:pt>
                <c:pt idx="5">
                  <c:v>25702</c:v>
                </c:pt>
              </c:numCache>
            </c:numRef>
          </c:val>
          <c:extLst>
            <c:ext xmlns:c16="http://schemas.microsoft.com/office/drawing/2014/chart" uri="{C3380CC4-5D6E-409C-BE32-E72D297353CC}">
              <c16:uniqueId val="{00000000-552E-45CD-912F-087944E89300}"/>
            </c:ext>
          </c:extLst>
        </c:ser>
        <c:dLbls>
          <c:dLblPos val="outEnd"/>
          <c:showLegendKey val="0"/>
          <c:showVal val="0"/>
          <c:showCatName val="0"/>
          <c:showSerName val="0"/>
          <c:showPercent val="0"/>
          <c:showBubbleSize val="0"/>
        </c:dLbls>
        <c:gapWidth val="444"/>
        <c:overlap val="-90"/>
        <c:axId val="1262507472"/>
        <c:axId val="1262501712"/>
      </c:barChart>
      <c:catAx>
        <c:axId val="1262507472"/>
        <c:scaling>
          <c:orientation val="minMax"/>
        </c:scaling>
        <c:delete val="0"/>
        <c:axPos val="b"/>
        <c:minorGridlines>
          <c:spPr>
            <a:ln>
              <a:solidFill>
                <a:schemeClr val="tx1">
                  <a:lumMod val="5000"/>
                  <a:lumOff val="95000"/>
                </a:schemeClr>
              </a:solidFill>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62501712"/>
        <c:crosses val="autoZero"/>
        <c:auto val="1"/>
        <c:lblAlgn val="ctr"/>
        <c:lblOffset val="100"/>
        <c:noMultiLvlLbl val="0"/>
      </c:catAx>
      <c:valAx>
        <c:axId val="126250171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Enrgy Consumption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6250747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dataset.xlsx]Sheet5!PivotTable10</c:name>
    <c:fmtId val="8"/>
  </c:pivotSource>
  <c:chart>
    <c:title>
      <c:tx>
        <c:rich>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r>
              <a:rPr lang="en-US" sz="1200" b="1"/>
              <a:t>Industrial X Comemrcial</a:t>
            </a:r>
            <a:r>
              <a:rPr lang="en-US" sz="1200" b="1" baseline="0"/>
              <a:t> X Residential  Consumption(%)</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23813952991107E-2"/>
          <c:y val="0.24409085002988487"/>
          <c:w val="0.84009750308706321"/>
          <c:h val="0.57807827239416854"/>
        </c:manualLayout>
      </c:layout>
      <c:barChart>
        <c:barDir val="col"/>
        <c:grouping val="percentStacked"/>
        <c:varyColors val="0"/>
        <c:ser>
          <c:idx val="0"/>
          <c:order val="0"/>
          <c:tx>
            <c:strRef>
              <c:f>Sheet5!$B$40</c:f>
              <c:strCache>
                <c:ptCount val="1"/>
                <c:pt idx="0">
                  <c:v>Average of Residential_GWh</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Sheet5!$A$41:$A$46</c:f>
              <c:strCache>
                <c:ptCount val="5"/>
                <c:pt idx="0">
                  <c:v>Abu Dhabi</c:v>
                </c:pt>
                <c:pt idx="1">
                  <c:v>Ajman</c:v>
                </c:pt>
                <c:pt idx="2">
                  <c:v>Dubai</c:v>
                </c:pt>
                <c:pt idx="3">
                  <c:v>Ras Al Khaimah</c:v>
                </c:pt>
                <c:pt idx="4">
                  <c:v>Sharjah</c:v>
                </c:pt>
              </c:strCache>
            </c:strRef>
          </c:cat>
          <c:val>
            <c:numRef>
              <c:f>Sheet5!$B$41:$B$46</c:f>
              <c:numCache>
                <c:formatCode>General</c:formatCode>
                <c:ptCount val="5"/>
                <c:pt idx="0">
                  <c:v>20933.333333333332</c:v>
                </c:pt>
                <c:pt idx="1">
                  <c:v>2433.3333333333335</c:v>
                </c:pt>
                <c:pt idx="2">
                  <c:v>18533.333333333332</c:v>
                </c:pt>
                <c:pt idx="3">
                  <c:v>2946.6666666666665</c:v>
                </c:pt>
                <c:pt idx="4">
                  <c:v>9233.3333333333339</c:v>
                </c:pt>
              </c:numCache>
            </c:numRef>
          </c:val>
          <c:extLst>
            <c:ext xmlns:c16="http://schemas.microsoft.com/office/drawing/2014/chart" uri="{C3380CC4-5D6E-409C-BE32-E72D297353CC}">
              <c16:uniqueId val="{00000000-1134-4181-8549-496774F2837B}"/>
            </c:ext>
          </c:extLst>
        </c:ser>
        <c:ser>
          <c:idx val="1"/>
          <c:order val="1"/>
          <c:tx>
            <c:strRef>
              <c:f>Sheet5!$C$40</c:f>
              <c:strCache>
                <c:ptCount val="1"/>
                <c:pt idx="0">
                  <c:v>Average of Commercial_GWh</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Sheet5!$A$41:$A$46</c:f>
              <c:strCache>
                <c:ptCount val="5"/>
                <c:pt idx="0">
                  <c:v>Abu Dhabi</c:v>
                </c:pt>
                <c:pt idx="1">
                  <c:v>Ajman</c:v>
                </c:pt>
                <c:pt idx="2">
                  <c:v>Dubai</c:v>
                </c:pt>
                <c:pt idx="3">
                  <c:v>Ras Al Khaimah</c:v>
                </c:pt>
                <c:pt idx="4">
                  <c:v>Sharjah</c:v>
                </c:pt>
              </c:strCache>
            </c:strRef>
          </c:cat>
          <c:val>
            <c:numRef>
              <c:f>Sheet5!$C$41:$C$46</c:f>
              <c:numCache>
                <c:formatCode>General</c:formatCode>
                <c:ptCount val="5"/>
                <c:pt idx="0">
                  <c:v>10000</c:v>
                </c:pt>
                <c:pt idx="1">
                  <c:v>965</c:v>
                </c:pt>
                <c:pt idx="2">
                  <c:v>10866.666666666666</c:v>
                </c:pt>
                <c:pt idx="3">
                  <c:v>1240</c:v>
                </c:pt>
                <c:pt idx="4">
                  <c:v>3483.3333333333335</c:v>
                </c:pt>
              </c:numCache>
            </c:numRef>
          </c:val>
          <c:extLst>
            <c:ext xmlns:c16="http://schemas.microsoft.com/office/drawing/2014/chart" uri="{C3380CC4-5D6E-409C-BE32-E72D297353CC}">
              <c16:uniqueId val="{00000001-1134-4181-8549-496774F2837B}"/>
            </c:ext>
          </c:extLst>
        </c:ser>
        <c:ser>
          <c:idx val="2"/>
          <c:order val="2"/>
          <c:tx>
            <c:strRef>
              <c:f>Sheet5!$D$40</c:f>
              <c:strCache>
                <c:ptCount val="1"/>
                <c:pt idx="0">
                  <c:v>Average of Industrial_GWh</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Sheet5!$A$41:$A$46</c:f>
              <c:strCache>
                <c:ptCount val="5"/>
                <c:pt idx="0">
                  <c:v>Abu Dhabi</c:v>
                </c:pt>
                <c:pt idx="1">
                  <c:v>Ajman</c:v>
                </c:pt>
                <c:pt idx="2">
                  <c:v>Dubai</c:v>
                </c:pt>
                <c:pt idx="3">
                  <c:v>Ras Al Khaimah</c:v>
                </c:pt>
                <c:pt idx="4">
                  <c:v>Sharjah</c:v>
                </c:pt>
              </c:strCache>
            </c:strRef>
          </c:cat>
          <c:val>
            <c:numRef>
              <c:f>Sheet5!$D$41:$D$46</c:f>
              <c:numCache>
                <c:formatCode>General</c:formatCode>
                <c:ptCount val="5"/>
                <c:pt idx="0">
                  <c:v>15200</c:v>
                </c:pt>
                <c:pt idx="1">
                  <c:v>750</c:v>
                </c:pt>
                <c:pt idx="2">
                  <c:v>10350</c:v>
                </c:pt>
                <c:pt idx="3">
                  <c:v>1896.6666666666667</c:v>
                </c:pt>
                <c:pt idx="4">
                  <c:v>4425</c:v>
                </c:pt>
              </c:numCache>
            </c:numRef>
          </c:val>
          <c:extLst>
            <c:ext xmlns:c16="http://schemas.microsoft.com/office/drawing/2014/chart" uri="{C3380CC4-5D6E-409C-BE32-E72D297353CC}">
              <c16:uniqueId val="{00000002-1134-4181-8549-496774F2837B}"/>
            </c:ext>
          </c:extLst>
        </c:ser>
        <c:dLbls>
          <c:showLegendKey val="0"/>
          <c:showVal val="0"/>
          <c:showCatName val="0"/>
          <c:showSerName val="0"/>
          <c:showPercent val="0"/>
          <c:showBubbleSize val="0"/>
        </c:dLbls>
        <c:gapWidth val="150"/>
        <c:overlap val="100"/>
        <c:axId val="1572613600"/>
        <c:axId val="1572615040"/>
      </c:barChart>
      <c:catAx>
        <c:axId val="15726136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615040"/>
        <c:crosses val="autoZero"/>
        <c:auto val="1"/>
        <c:lblAlgn val="ctr"/>
        <c:lblOffset val="100"/>
        <c:noMultiLvlLbl val="0"/>
      </c:catAx>
      <c:valAx>
        <c:axId val="15726150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2613600"/>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19653586071598483"/>
          <c:y val="0.84633897247992518"/>
          <c:w val="0.77800749448070516"/>
          <c:h val="0.15036069748707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dataset.xlsx]Sheet5!PivotTable8</c:name>
    <c:fmtId val="8"/>
  </c:pivotSource>
  <c:chart>
    <c:title>
      <c:tx>
        <c:rich>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r>
              <a:rPr lang="en-US" sz="1200" b="1" i="0" u="none" strike="noStrike" kern="1200" cap="none" spc="20" normalizeH="0" baseline="0">
                <a:solidFill>
                  <a:sysClr val="windowText" lastClr="000000">
                    <a:lumMod val="50000"/>
                    <a:lumOff val="50000"/>
                  </a:sysClr>
                </a:solidFill>
                <a:latin typeface="+mn-lt"/>
                <a:ea typeface="+mn-ea"/>
                <a:cs typeface="+mn-cs"/>
              </a:rPr>
              <a:t>Average Electricity &amp; Energy Consumption </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Sheet5!$I$1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21A-4FE0-A832-B88695BA5EF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21A-4FE0-A832-B88695BA5EF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21A-4FE0-A832-B88695BA5EF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21A-4FE0-A832-B88695BA5EF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821A-4FE0-A832-B88695BA5E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Sheet5!$H$2:$H$7</c:f>
              <c:strCache>
                <c:ptCount val="5"/>
                <c:pt idx="0">
                  <c:v>Abu Dhabi</c:v>
                </c:pt>
                <c:pt idx="1">
                  <c:v>Ajman</c:v>
                </c:pt>
                <c:pt idx="2">
                  <c:v>Dubai</c:v>
                </c:pt>
                <c:pt idx="3">
                  <c:v>Ras Al Khaimah</c:v>
                </c:pt>
                <c:pt idx="4">
                  <c:v>Sharjah</c:v>
                </c:pt>
              </c:strCache>
            </c:strRef>
          </c:cat>
          <c:val>
            <c:numRef>
              <c:f>Sheet5!$I$2:$I$7</c:f>
              <c:numCache>
                <c:formatCode>General</c:formatCode>
                <c:ptCount val="5"/>
                <c:pt idx="0">
                  <c:v>46133.333333333336</c:v>
                </c:pt>
                <c:pt idx="1">
                  <c:v>4148.333333333333</c:v>
                </c:pt>
                <c:pt idx="2">
                  <c:v>39750</c:v>
                </c:pt>
                <c:pt idx="3">
                  <c:v>6083.333333333333</c:v>
                </c:pt>
                <c:pt idx="4">
                  <c:v>17141.666666666668</c:v>
                </c:pt>
              </c:numCache>
            </c:numRef>
          </c:val>
          <c:extLst>
            <c:ext xmlns:c16="http://schemas.microsoft.com/office/drawing/2014/chart" uri="{C3380CC4-5D6E-409C-BE32-E72D297353CC}">
              <c16:uniqueId val="{0000000A-821A-4FE0-A832-B88695BA5E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 Electricity &amp; Energy Consumption dataset.xlsx]Sheet5!PivotTable9</c:name>
    <c:fmtId val="5"/>
  </c:pivotSource>
  <c:chart>
    <c:title>
      <c:tx>
        <c:rich>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r>
              <a:rPr lang="en-US" sz="1200" b="1" i="0" u="none" strike="noStrike" kern="1200" cap="none" spc="20" baseline="0">
                <a:solidFill>
                  <a:sysClr val="windowText" lastClr="000000">
                    <a:lumMod val="50000"/>
                    <a:lumOff val="50000"/>
                  </a:sysClr>
                </a:solidFill>
                <a:latin typeface="+mn-lt"/>
                <a:ea typeface="+mn-ea"/>
                <a:cs typeface="+mn-cs"/>
              </a:rPr>
              <a:t>Emirates Vs Gwh Category</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20" normalizeH="0" baseline="0">
              <a:solidFill>
                <a:sysClr val="windowText" lastClr="000000">
                  <a:lumMod val="50000"/>
                  <a:lumOff val="50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Sheet5!$B$33:$B$34</c:f>
              <c:strCache>
                <c:ptCount val="1"/>
                <c:pt idx="0">
                  <c:v>Abu Dhabi</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Sheet5!$B$35:$B$38</c:f>
              <c:numCache>
                <c:formatCode>General</c:formatCode>
                <c:ptCount val="3"/>
                <c:pt idx="0">
                  <c:v>44920</c:v>
                </c:pt>
                <c:pt idx="2">
                  <c:v>52200</c:v>
                </c:pt>
              </c:numCache>
            </c:numRef>
          </c:val>
          <c:extLst>
            <c:ext xmlns:c16="http://schemas.microsoft.com/office/drawing/2014/chart" uri="{C3380CC4-5D6E-409C-BE32-E72D297353CC}">
              <c16:uniqueId val="{00000000-99B7-49D9-95C8-F5632468919F}"/>
            </c:ext>
          </c:extLst>
        </c:ser>
        <c:ser>
          <c:idx val="1"/>
          <c:order val="1"/>
          <c:tx>
            <c:strRef>
              <c:f>Sheet5!$C$33:$C$34</c:f>
              <c:strCache>
                <c:ptCount val="1"/>
                <c:pt idx="0">
                  <c:v>Ajman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Sheet5!$C$35:$C$38</c:f>
              <c:numCache>
                <c:formatCode>General</c:formatCode>
                <c:ptCount val="3"/>
                <c:pt idx="1">
                  <c:v>4148.333333333333</c:v>
                </c:pt>
              </c:numCache>
            </c:numRef>
          </c:val>
          <c:extLst>
            <c:ext xmlns:c16="http://schemas.microsoft.com/office/drawing/2014/chart" uri="{C3380CC4-5D6E-409C-BE32-E72D297353CC}">
              <c16:uniqueId val="{00000021-99B7-49D9-95C8-F5632468919F}"/>
            </c:ext>
          </c:extLst>
        </c:ser>
        <c:ser>
          <c:idx val="2"/>
          <c:order val="2"/>
          <c:tx>
            <c:strRef>
              <c:f>Sheet5!$D$33:$D$34</c:f>
              <c:strCache>
                <c:ptCount val="1"/>
                <c:pt idx="0">
                  <c:v>Dubai</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Sheet5!$D$35:$D$38</c:f>
              <c:numCache>
                <c:formatCode>General</c:formatCode>
                <c:ptCount val="3"/>
                <c:pt idx="0">
                  <c:v>39750</c:v>
                </c:pt>
              </c:numCache>
            </c:numRef>
          </c:val>
          <c:extLst>
            <c:ext xmlns:c16="http://schemas.microsoft.com/office/drawing/2014/chart" uri="{C3380CC4-5D6E-409C-BE32-E72D297353CC}">
              <c16:uniqueId val="{00000022-99B7-49D9-95C8-F5632468919F}"/>
            </c:ext>
          </c:extLst>
        </c:ser>
        <c:ser>
          <c:idx val="3"/>
          <c:order val="3"/>
          <c:tx>
            <c:strRef>
              <c:f>Sheet5!$E$33:$E$34</c:f>
              <c:strCache>
                <c:ptCount val="1"/>
                <c:pt idx="0">
                  <c:v>Ras Al Khaimah</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Sheet5!$E$35:$E$38</c:f>
              <c:numCache>
                <c:formatCode>General</c:formatCode>
                <c:ptCount val="3"/>
                <c:pt idx="1">
                  <c:v>6083.333333333333</c:v>
                </c:pt>
              </c:numCache>
            </c:numRef>
          </c:val>
          <c:extLst>
            <c:ext xmlns:c16="http://schemas.microsoft.com/office/drawing/2014/chart" uri="{C3380CC4-5D6E-409C-BE32-E72D297353CC}">
              <c16:uniqueId val="{00000023-99B7-49D9-95C8-F5632468919F}"/>
            </c:ext>
          </c:extLst>
        </c:ser>
        <c:ser>
          <c:idx val="4"/>
          <c:order val="4"/>
          <c:tx>
            <c:strRef>
              <c:f>Sheet5!$F$33:$F$34</c:f>
              <c:strCache>
                <c:ptCount val="1"/>
                <c:pt idx="0">
                  <c:v>Sharjah</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Sheet5!$A$35:$A$38</c:f>
              <c:strCache>
                <c:ptCount val="3"/>
                <c:pt idx="0">
                  <c:v>&gt;10000GWh</c:v>
                </c:pt>
                <c:pt idx="1">
                  <c:v>&lt;1000GWh</c:v>
                </c:pt>
                <c:pt idx="2">
                  <c:v>&gt;50000GWh</c:v>
                </c:pt>
              </c:strCache>
            </c:strRef>
          </c:cat>
          <c:val>
            <c:numRef>
              <c:f>Sheet5!$F$35:$F$38</c:f>
              <c:numCache>
                <c:formatCode>General</c:formatCode>
                <c:ptCount val="3"/>
                <c:pt idx="0">
                  <c:v>17141.666666666668</c:v>
                </c:pt>
              </c:numCache>
            </c:numRef>
          </c:val>
          <c:extLst>
            <c:ext xmlns:c16="http://schemas.microsoft.com/office/drawing/2014/chart" uri="{C3380CC4-5D6E-409C-BE32-E72D297353CC}">
              <c16:uniqueId val="{00000024-99B7-49D9-95C8-F5632468919F}"/>
            </c:ext>
          </c:extLst>
        </c:ser>
        <c:dLbls>
          <c:dLblPos val="outEnd"/>
          <c:showLegendKey val="0"/>
          <c:showVal val="1"/>
          <c:showCatName val="0"/>
          <c:showSerName val="0"/>
          <c:showPercent val="0"/>
          <c:showBubbleSize val="0"/>
        </c:dLbls>
        <c:gapWidth val="444"/>
        <c:overlap val="-90"/>
        <c:axId val="1572592960"/>
        <c:axId val="1572609760"/>
      </c:barChart>
      <c:catAx>
        <c:axId val="157259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GW</a:t>
                </a:r>
                <a:r>
                  <a:rPr lang="en-US" baseline="0"/>
                  <a:t> H Category</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2609760"/>
        <c:crosses val="autoZero"/>
        <c:auto val="1"/>
        <c:lblAlgn val="ctr"/>
        <c:lblOffset val="100"/>
        <c:noMultiLvlLbl val="0"/>
      </c:catAx>
      <c:valAx>
        <c:axId val="1572609760"/>
        <c:scaling>
          <c:orientation val="minMax"/>
        </c:scaling>
        <c:delete val="1"/>
        <c:axPos val="l"/>
        <c:numFmt formatCode="General" sourceLinked="1"/>
        <c:majorTickMark val="none"/>
        <c:minorTickMark val="none"/>
        <c:tickLblPos val="nextTo"/>
        <c:crossAx val="157259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9526</xdr:colOff>
      <xdr:row>6</xdr:row>
      <xdr:rowOff>185737</xdr:rowOff>
    </xdr:from>
    <xdr:to>
      <xdr:col>11</xdr:col>
      <xdr:colOff>247650</xdr:colOff>
      <xdr:row>21</xdr:row>
      <xdr:rowOff>71437</xdr:rowOff>
    </xdr:to>
    <xdr:graphicFrame macro="">
      <xdr:nvGraphicFramePr>
        <xdr:cNvPr id="2" name="Chart 1">
          <a:extLst>
            <a:ext uri="{FF2B5EF4-FFF2-40B4-BE49-F238E27FC236}">
              <a16:creationId xmlns:a16="http://schemas.microsoft.com/office/drawing/2014/main" id="{060D2F50-1144-2F6E-64C4-48D878B6C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14287</xdr:rowOff>
    </xdr:from>
    <xdr:to>
      <xdr:col>11</xdr:col>
      <xdr:colOff>276225</xdr:colOff>
      <xdr:row>35</xdr:row>
      <xdr:rowOff>90487</xdr:rowOff>
    </xdr:to>
    <xdr:graphicFrame macro="">
      <xdr:nvGraphicFramePr>
        <xdr:cNvPr id="3" name="Chart 2">
          <a:extLst>
            <a:ext uri="{FF2B5EF4-FFF2-40B4-BE49-F238E27FC236}">
              <a16:creationId xmlns:a16="http://schemas.microsoft.com/office/drawing/2014/main" id="{818CE4A7-5248-59A7-AC36-26EC066DC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428625</xdr:colOff>
      <xdr:row>39</xdr:row>
      <xdr:rowOff>71437</xdr:rowOff>
    </xdr:from>
    <xdr:to>
      <xdr:col>11</xdr:col>
      <xdr:colOff>295275</xdr:colOff>
      <xdr:row>58</xdr:row>
      <xdr:rowOff>180975</xdr:rowOff>
    </xdr:to>
    <xdr:graphicFrame macro="">
      <xdr:nvGraphicFramePr>
        <xdr:cNvPr id="5" name="Chart 4">
          <a:extLst>
            <a:ext uri="{FF2B5EF4-FFF2-40B4-BE49-F238E27FC236}">
              <a16:creationId xmlns:a16="http://schemas.microsoft.com/office/drawing/2014/main" id="{C5F6B845-3F6D-64FB-F7FD-BE1F2A7F7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56</xdr:row>
      <xdr:rowOff>23812</xdr:rowOff>
    </xdr:from>
    <xdr:to>
      <xdr:col>3</xdr:col>
      <xdr:colOff>1104900</xdr:colOff>
      <xdr:row>70</xdr:row>
      <xdr:rowOff>100012</xdr:rowOff>
    </xdr:to>
    <xdr:graphicFrame macro="">
      <xdr:nvGraphicFramePr>
        <xdr:cNvPr id="6" name="Chart 5">
          <a:extLst>
            <a:ext uri="{FF2B5EF4-FFF2-40B4-BE49-F238E27FC236}">
              <a16:creationId xmlns:a16="http://schemas.microsoft.com/office/drawing/2014/main" id="{33F05320-0524-595F-2873-9E1D1F412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171450</xdr:rowOff>
    </xdr:from>
    <xdr:to>
      <xdr:col>7</xdr:col>
      <xdr:colOff>333374</xdr:colOff>
      <xdr:row>15</xdr:row>
      <xdr:rowOff>123825</xdr:rowOff>
    </xdr:to>
    <xdr:graphicFrame macro="">
      <xdr:nvGraphicFramePr>
        <xdr:cNvPr id="18" name="Chart 17">
          <a:extLst>
            <a:ext uri="{FF2B5EF4-FFF2-40B4-BE49-F238E27FC236}">
              <a16:creationId xmlns:a16="http://schemas.microsoft.com/office/drawing/2014/main" id="{9BC1E19D-60CB-402C-AB03-7CBBBC550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123826</xdr:rowOff>
    </xdr:from>
    <xdr:to>
      <xdr:col>7</xdr:col>
      <xdr:colOff>342900</xdr:colOff>
      <xdr:row>33</xdr:row>
      <xdr:rowOff>0</xdr:rowOff>
    </xdr:to>
    <xdr:graphicFrame macro="">
      <xdr:nvGraphicFramePr>
        <xdr:cNvPr id="19" name="Chart 18">
          <a:extLst>
            <a:ext uri="{FF2B5EF4-FFF2-40B4-BE49-F238E27FC236}">
              <a16:creationId xmlns:a16="http://schemas.microsoft.com/office/drawing/2014/main" id="{2CD77FA8-50FF-4093-A2C8-199B24FA8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323850</xdr:colOff>
      <xdr:row>2</xdr:row>
      <xdr:rowOff>171450</xdr:rowOff>
    </xdr:from>
    <xdr:to>
      <xdr:col>16</xdr:col>
      <xdr:colOff>9525</xdr:colOff>
      <xdr:row>15</xdr:row>
      <xdr:rowOff>133350</xdr:rowOff>
    </xdr:to>
    <xdr:graphicFrame macro="">
      <xdr:nvGraphicFramePr>
        <xdr:cNvPr id="20" name="Chart 19">
          <a:extLst>
            <a:ext uri="{FF2B5EF4-FFF2-40B4-BE49-F238E27FC236}">
              <a16:creationId xmlns:a16="http://schemas.microsoft.com/office/drawing/2014/main" id="{E36CF487-391C-4DCD-8004-E882766F3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333375</xdr:colOff>
      <xdr:row>15</xdr:row>
      <xdr:rowOff>123825</xdr:rowOff>
    </xdr:from>
    <xdr:to>
      <xdr:col>16</xdr:col>
      <xdr:colOff>0</xdr:colOff>
      <xdr:row>32</xdr:row>
      <xdr:rowOff>180975</xdr:rowOff>
    </xdr:to>
    <xdr:graphicFrame macro="">
      <xdr:nvGraphicFramePr>
        <xdr:cNvPr id="21" name="Chart 20">
          <a:extLst>
            <a:ext uri="{FF2B5EF4-FFF2-40B4-BE49-F238E27FC236}">
              <a16:creationId xmlns:a16="http://schemas.microsoft.com/office/drawing/2014/main" id="{1A59B225-E71F-40EF-BCD1-DC2DA8097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142875</xdr:colOff>
      <xdr:row>4</xdr:row>
      <xdr:rowOff>38100</xdr:rowOff>
    </xdr:from>
    <xdr:to>
      <xdr:col>19</xdr:col>
      <xdr:colOff>142875</xdr:colOff>
      <xdr:row>15</xdr:row>
      <xdr:rowOff>47625</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C7F5CB63-DCBF-5312-3B49-C2E8558999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96475" y="942975"/>
              <a:ext cx="1828800"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22</xdr:row>
      <xdr:rowOff>180975</xdr:rowOff>
    </xdr:from>
    <xdr:to>
      <xdr:col>19</xdr:col>
      <xdr:colOff>133350</xdr:colOff>
      <xdr:row>32</xdr:row>
      <xdr:rowOff>161925</xdr:rowOff>
    </xdr:to>
    <mc:AlternateContent xmlns:mc="http://schemas.openxmlformats.org/markup-compatibility/2006">
      <mc:Choice xmlns:a14="http://schemas.microsoft.com/office/drawing/2010/main" Requires="a14">
        <xdr:graphicFrame macro="">
          <xdr:nvGraphicFramePr>
            <xdr:cNvPr id="23" name="Emirate">
              <a:extLst>
                <a:ext uri="{FF2B5EF4-FFF2-40B4-BE49-F238E27FC236}">
                  <a16:creationId xmlns:a16="http://schemas.microsoft.com/office/drawing/2014/main" id="{AC03865D-B191-E8EB-A389-2F3B80489285}"/>
                </a:ext>
              </a:extLst>
            </xdr:cNvPr>
            <xdr:cNvGraphicFramePr/>
          </xdr:nvGraphicFramePr>
          <xdr:xfrm>
            <a:off x="0" y="0"/>
            <a:ext cx="0" cy="0"/>
          </xdr:xfrm>
          <a:graphic>
            <a:graphicData uri="http://schemas.microsoft.com/office/drawing/2010/slicer">
              <sle:slicer xmlns:sle="http://schemas.microsoft.com/office/drawing/2010/slicer" name="Emirate"/>
            </a:graphicData>
          </a:graphic>
        </xdr:graphicFrame>
      </mc:Choice>
      <mc:Fallback>
        <xdr:sp macro="" textlink="">
          <xdr:nvSpPr>
            <xdr:cNvPr id="0" name=""/>
            <xdr:cNvSpPr>
              <a:spLocks noTextEdit="1"/>
            </xdr:cNvSpPr>
          </xdr:nvSpPr>
          <xdr:spPr>
            <a:xfrm>
              <a:off x="9886950" y="451485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15</xdr:row>
      <xdr:rowOff>142874</xdr:rowOff>
    </xdr:from>
    <xdr:to>
      <xdr:col>19</xdr:col>
      <xdr:colOff>142875</xdr:colOff>
      <xdr:row>22</xdr:row>
      <xdr:rowOff>85725</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4584DCAE-75C8-E8C8-F531-6F0D921C5A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96475" y="3143249"/>
              <a:ext cx="1828800"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161925</xdr:colOff>
      <xdr:row>2</xdr:row>
      <xdr:rowOff>19050</xdr:rowOff>
    </xdr:from>
    <xdr:ext cx="1771650" cy="374077"/>
    <xdr:sp macro="" textlink="">
      <xdr:nvSpPr>
        <xdr:cNvPr id="26" name="TextBox 25">
          <a:extLst>
            <a:ext uri="{FF2B5EF4-FFF2-40B4-BE49-F238E27FC236}">
              <a16:creationId xmlns:a16="http://schemas.microsoft.com/office/drawing/2014/main" id="{6260FB75-1BEF-F29A-D1BE-E10EF8F9DA43}"/>
            </a:ext>
          </a:extLst>
        </xdr:cNvPr>
        <xdr:cNvSpPr txBox="1"/>
      </xdr:nvSpPr>
      <xdr:spPr>
        <a:xfrm>
          <a:off x="9915525" y="542925"/>
          <a:ext cx="177165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chemeClr val="accent5">
                  <a:lumMod val="75000"/>
                </a:schemeClr>
              </a:solidFill>
            </a:rPr>
            <a:t>Chart</a:t>
          </a:r>
          <a:r>
            <a:rPr lang="en-US" sz="1800" b="1" baseline="0">
              <a:solidFill>
                <a:schemeClr val="accent5">
                  <a:lumMod val="75000"/>
                </a:schemeClr>
              </a:solidFill>
            </a:rPr>
            <a:t> Controls</a:t>
          </a:r>
          <a:endParaRPr lang="en-US" sz="1800" b="1">
            <a:solidFill>
              <a:schemeClr val="accent5">
                <a:lumMod val="75000"/>
              </a:schemeClr>
            </a:solidFill>
          </a:endParaRPr>
        </a:p>
      </xdr:txBody>
    </xdr:sp>
    <xdr:clientData/>
  </xdr:oneCellAnchor>
  <xdr:twoCellAnchor>
    <xdr:from>
      <xdr:col>19</xdr:col>
      <xdr:colOff>419100</xdr:colOff>
      <xdr:row>2</xdr:row>
      <xdr:rowOff>133350</xdr:rowOff>
    </xdr:from>
    <xdr:to>
      <xdr:col>27</xdr:col>
      <xdr:colOff>600075</xdr:colOff>
      <xdr:row>28</xdr:row>
      <xdr:rowOff>95250</xdr:rowOff>
    </xdr:to>
    <xdr:sp macro="" textlink="">
      <xdr:nvSpPr>
        <xdr:cNvPr id="29" name="Speech Bubble: Rectangle with Corners Rounded 28">
          <a:extLst>
            <a:ext uri="{FF2B5EF4-FFF2-40B4-BE49-F238E27FC236}">
              <a16:creationId xmlns:a16="http://schemas.microsoft.com/office/drawing/2014/main" id="{03693F85-ADDC-C32A-B180-2C00AD922120}"/>
            </a:ext>
          </a:extLst>
        </xdr:cNvPr>
        <xdr:cNvSpPr/>
      </xdr:nvSpPr>
      <xdr:spPr>
        <a:xfrm>
          <a:off x="12001500" y="657225"/>
          <a:ext cx="5057775" cy="4914900"/>
        </a:xfrm>
        <a:prstGeom prst="wedgeRoundRectCallou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142875</xdr:colOff>
      <xdr:row>5</xdr:row>
      <xdr:rowOff>0</xdr:rowOff>
    </xdr:from>
    <xdr:to>
      <xdr:col>27</xdr:col>
      <xdr:colOff>295275</xdr:colOff>
      <xdr:row>26</xdr:row>
      <xdr:rowOff>104775</xdr:rowOff>
    </xdr:to>
    <xdr:sp macro="" textlink="">
      <xdr:nvSpPr>
        <xdr:cNvPr id="30" name="TextBox 29">
          <a:extLst>
            <a:ext uri="{FF2B5EF4-FFF2-40B4-BE49-F238E27FC236}">
              <a16:creationId xmlns:a16="http://schemas.microsoft.com/office/drawing/2014/main" id="{A2E34049-9C5F-79E8-E489-7C652B9D4223}"/>
            </a:ext>
          </a:extLst>
        </xdr:cNvPr>
        <xdr:cNvSpPr txBox="1"/>
      </xdr:nvSpPr>
      <xdr:spPr>
        <a:xfrm>
          <a:off x="12334875" y="1095375"/>
          <a:ext cx="4419600" cy="4105275"/>
        </a:xfrm>
        <a:prstGeom prst="rect">
          <a:avLst/>
        </a:prstGeom>
        <a:noFill/>
        <a:ln w="57150" cmpd="sng">
          <a:solidFill>
            <a:schemeClr val="bg1"/>
          </a:solidFill>
        </a:ln>
        <a:effectLst>
          <a:glow rad="101600">
            <a:schemeClr val="accent5">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Trend Shows that</a:t>
          </a:r>
          <a:r>
            <a:rPr lang="en-US" sz="1100" baseline="0">
              <a:solidFill>
                <a:schemeClr val="bg1"/>
              </a:solidFill>
            </a:rPr>
            <a:t> Abu dhabi Energy and electricity consumption in the year 2024 is more han 50000 GWh.</a:t>
          </a:r>
          <a:endParaRPr lang="en-US" sz="1100">
            <a:solidFill>
              <a:schemeClr val="bg1"/>
            </a:solidFill>
          </a:endParaRPr>
        </a:p>
      </xdr:txBody>
    </xdr:sp>
    <xdr:clientData/>
  </xdr:twoCellAnchor>
  <xdr:oneCellAnchor>
    <xdr:from>
      <xdr:col>22</xdr:col>
      <xdr:colOff>257175</xdr:colOff>
      <xdr:row>2</xdr:row>
      <xdr:rowOff>180975</xdr:rowOff>
    </xdr:from>
    <xdr:ext cx="1657350" cy="342851"/>
    <xdr:sp macro="" textlink="">
      <xdr:nvSpPr>
        <xdr:cNvPr id="31" name="TextBox 30">
          <a:extLst>
            <a:ext uri="{FF2B5EF4-FFF2-40B4-BE49-F238E27FC236}">
              <a16:creationId xmlns:a16="http://schemas.microsoft.com/office/drawing/2014/main" id="{09F831EA-428D-CD16-1C52-A965A1408361}"/>
            </a:ext>
          </a:extLst>
        </xdr:cNvPr>
        <xdr:cNvSpPr txBox="1"/>
      </xdr:nvSpPr>
      <xdr:spPr>
        <a:xfrm>
          <a:off x="13668375" y="704850"/>
          <a:ext cx="165735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solidFill>
                <a:schemeClr val="bg1"/>
              </a:solidFill>
            </a:rPr>
            <a:t>Key</a:t>
          </a:r>
          <a:r>
            <a:rPr lang="en-US" sz="1600" b="1" baseline="0">
              <a:solidFill>
                <a:schemeClr val="bg1"/>
              </a:solidFill>
            </a:rPr>
            <a:t> Takeaways</a:t>
          </a:r>
          <a:endParaRPr lang="en-US" sz="16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ili" refreshedDate="46157.434607870367" createdVersion="8" refreshedVersion="8" minRefreshableVersion="3" recordCount="30" xr:uid="{8729CECD-BBFE-4964-9461-E762AC283F0E}">
  <cacheSource type="worksheet">
    <worksheetSource name="Table2"/>
  </cacheSource>
  <cacheFields count="7">
    <cacheField name="Year" numFmtId="0">
      <sharedItems containsSemiMixedTypes="0" containsString="0" containsNumber="1" containsInteger="1" minValue="2019" maxValue="2024" count="6">
        <n v="2019"/>
        <n v="2020"/>
        <n v="2021"/>
        <n v="2022"/>
        <n v="2023"/>
        <n v="2024"/>
      </sharedItems>
    </cacheField>
    <cacheField name="Emirate" numFmtId="0">
      <sharedItems count="5">
        <s v="Abu Dhabi"/>
        <s v="Dubai"/>
        <s v="Sharjah"/>
        <s v="Ajman"/>
        <s v="Ras Al Khaimah"/>
      </sharedItems>
    </cacheField>
    <cacheField name="Residential_GWh" numFmtId="0">
      <sharedItems containsSemiMixedTypes="0" containsString="0" containsNumber="1" containsInteger="1" minValue="2100" maxValue="23800"/>
    </cacheField>
    <cacheField name="Commercial_GWh" numFmtId="0">
      <sharedItems containsSemiMixedTypes="0" containsString="0" containsNumber="1" containsInteger="1" minValue="850" maxValue="12600"/>
    </cacheField>
    <cacheField name="Industrial_GWh" numFmtId="0">
      <sharedItems containsSemiMixedTypes="0" containsString="0" containsNumber="1" containsInteger="1" minValue="650" maxValue="16900"/>
    </cacheField>
    <cacheField name="Total_GWh" numFmtId="0">
      <sharedItems containsSemiMixedTypes="0" containsString="0" containsNumber="1" containsInteger="1" minValue="3700" maxValue="52200"/>
    </cacheField>
    <cacheField name="Category" numFmtId="0">
      <sharedItems count="6">
        <s v="&gt;10000GWh"/>
        <s v="&lt;1000GWh"/>
        <s v="&gt;50000GWh"/>
        <s v="&gt;10000" u="1"/>
        <s v="&lt;1000" u="1"/>
        <s v="&gt;50000" u="1"/>
      </sharedItems>
    </cacheField>
  </cacheFields>
  <extLst>
    <ext xmlns:x14="http://schemas.microsoft.com/office/spreadsheetml/2009/9/main" uri="{725AE2AE-9491-48be-B2B4-4EB974FC3084}">
      <x14:pivotCacheDefinition pivotCacheId="1658997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8500"/>
    <n v="9200"/>
    <n v="14100"/>
    <n v="41800"/>
    <x v="0"/>
  </r>
  <r>
    <x v="0"/>
    <x v="1"/>
    <n v="17200"/>
    <n v="10100"/>
    <n v="9800"/>
    <n v="37100"/>
    <x v="0"/>
  </r>
  <r>
    <x v="0"/>
    <x v="2"/>
    <n v="8400"/>
    <n v="3100"/>
    <n v="4200"/>
    <n v="15700"/>
    <x v="0"/>
  </r>
  <r>
    <x v="0"/>
    <x v="3"/>
    <n v="2100"/>
    <n v="900"/>
    <n v="700"/>
    <n v="3700"/>
    <x v="1"/>
  </r>
  <r>
    <x v="0"/>
    <x v="4"/>
    <n v="2600"/>
    <n v="1100"/>
    <n v="1800"/>
    <n v="5500"/>
    <x v="1"/>
  </r>
  <r>
    <x v="1"/>
    <x v="0"/>
    <n v="19200"/>
    <n v="8700"/>
    <n v="13600"/>
    <n v="41500"/>
    <x v="0"/>
  </r>
  <r>
    <x v="1"/>
    <x v="1"/>
    <n v="16800"/>
    <n v="9200"/>
    <n v="9100"/>
    <n v="35100"/>
    <x v="0"/>
  </r>
  <r>
    <x v="1"/>
    <x v="2"/>
    <n v="8600"/>
    <n v="2800"/>
    <n v="3900"/>
    <n v="15300"/>
    <x v="0"/>
  </r>
  <r>
    <x v="1"/>
    <x v="3"/>
    <n v="2200"/>
    <n v="850"/>
    <n v="650"/>
    <n v="3700"/>
    <x v="1"/>
  </r>
  <r>
    <x v="1"/>
    <x v="4"/>
    <n v="2700"/>
    <n v="1050"/>
    <n v="1700"/>
    <n v="5450"/>
    <x v="1"/>
  </r>
  <r>
    <x v="2"/>
    <x v="0"/>
    <n v="20100"/>
    <n v="9600"/>
    <n v="14800"/>
    <n v="44500"/>
    <x v="0"/>
  </r>
  <r>
    <x v="2"/>
    <x v="1"/>
    <n v="17900"/>
    <n v="10400"/>
    <n v="9800"/>
    <n v="38100"/>
    <x v="0"/>
  </r>
  <r>
    <x v="2"/>
    <x v="2"/>
    <n v="8900"/>
    <n v="3300"/>
    <n v="4300"/>
    <n v="16500"/>
    <x v="0"/>
  </r>
  <r>
    <x v="2"/>
    <x v="3"/>
    <n v="2350"/>
    <n v="920"/>
    <n v="720"/>
    <n v="3990"/>
    <x v="1"/>
  </r>
  <r>
    <x v="2"/>
    <x v="4"/>
    <n v="2850"/>
    <n v="1200"/>
    <n v="1850"/>
    <n v="5900"/>
    <x v="1"/>
  </r>
  <r>
    <x v="3"/>
    <x v="0"/>
    <n v="21400"/>
    <n v="10200"/>
    <n v="15600"/>
    <n v="47200"/>
    <x v="0"/>
  </r>
  <r>
    <x v="3"/>
    <x v="1"/>
    <n v="18800"/>
    <n v="11100"/>
    <n v="10500"/>
    <n v="40400"/>
    <x v="0"/>
  </r>
  <r>
    <x v="3"/>
    <x v="2"/>
    <n v="9400"/>
    <n v="3600"/>
    <n v="4500"/>
    <n v="17500"/>
    <x v="0"/>
  </r>
  <r>
    <x v="3"/>
    <x v="3"/>
    <n v="2500"/>
    <n v="980"/>
    <n v="760"/>
    <n v="4240"/>
    <x v="1"/>
  </r>
  <r>
    <x v="3"/>
    <x v="4"/>
    <n v="3000"/>
    <n v="1280"/>
    <n v="1920"/>
    <n v="6200"/>
    <x v="1"/>
  </r>
  <r>
    <x v="4"/>
    <x v="0"/>
    <n v="22600"/>
    <n v="10800"/>
    <n v="16200"/>
    <n v="49600"/>
    <x v="0"/>
  </r>
  <r>
    <x v="4"/>
    <x v="1"/>
    <n v="19700"/>
    <n v="11800"/>
    <n v="11100"/>
    <n v="42600"/>
    <x v="0"/>
  </r>
  <r>
    <x v="4"/>
    <x v="2"/>
    <n v="9800"/>
    <n v="3900"/>
    <n v="4700"/>
    <n v="18400"/>
    <x v="0"/>
  </r>
  <r>
    <x v="4"/>
    <x v="3"/>
    <n v="2650"/>
    <n v="1040"/>
    <n v="810"/>
    <n v="4500"/>
    <x v="1"/>
  </r>
  <r>
    <x v="4"/>
    <x v="4"/>
    <n v="3180"/>
    <n v="1360"/>
    <n v="2010"/>
    <n v="6550"/>
    <x v="1"/>
  </r>
  <r>
    <x v="5"/>
    <x v="0"/>
    <n v="23800"/>
    <n v="11500"/>
    <n v="16900"/>
    <n v="52200"/>
    <x v="2"/>
  </r>
  <r>
    <x v="5"/>
    <x v="1"/>
    <n v="20800"/>
    <n v="12600"/>
    <n v="11800"/>
    <n v="45200"/>
    <x v="0"/>
  </r>
  <r>
    <x v="5"/>
    <x v="2"/>
    <n v="10300"/>
    <n v="4200"/>
    <n v="4950"/>
    <n v="19450"/>
    <x v="0"/>
  </r>
  <r>
    <x v="5"/>
    <x v="3"/>
    <n v="2800"/>
    <n v="1100"/>
    <n v="860"/>
    <n v="4760"/>
    <x v="1"/>
  </r>
  <r>
    <x v="5"/>
    <x v="4"/>
    <n v="3350"/>
    <n v="1450"/>
    <n v="2100"/>
    <n v="69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27A59-9C76-4BB9-9C5D-8F2CCA170C10}" name="PivotTable11"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9:B56" firstHeaderRow="1" firstDataRow="1" firstDataCol="1"/>
  <pivotFields count="7">
    <pivotField axis="axisRow" showAll="0">
      <items count="7">
        <item x="0"/>
        <item x="1"/>
        <item x="2"/>
        <item x="3"/>
        <item x="4"/>
        <item x="5"/>
        <item t="default"/>
      </items>
    </pivotField>
    <pivotField showAll="0">
      <items count="6">
        <item x="0"/>
        <item x="3"/>
        <item x="1"/>
        <item x="4"/>
        <item x="2"/>
        <item t="default"/>
      </items>
    </pivotField>
    <pivotField showAll="0"/>
    <pivotField showAll="0"/>
    <pivotField showAll="0"/>
    <pivotField dataField="1" showAll="0"/>
    <pivotField showAll="0">
      <items count="7">
        <item m="1" x="4"/>
        <item x="1"/>
        <item m="1" x="3"/>
        <item x="0"/>
        <item m="1" x="5"/>
        <item x="2"/>
        <item t="default"/>
      </items>
    </pivotField>
  </pivotFields>
  <rowFields count="1">
    <field x="0"/>
  </rowFields>
  <rowItems count="7">
    <i>
      <x/>
    </i>
    <i>
      <x v="1"/>
    </i>
    <i>
      <x v="2"/>
    </i>
    <i>
      <x v="3"/>
    </i>
    <i>
      <x v="4"/>
    </i>
    <i>
      <x v="5"/>
    </i>
    <i t="grand">
      <x/>
    </i>
  </rowItems>
  <colItems count="1">
    <i/>
  </colItems>
  <dataFields count="1">
    <dataField name="Average of Total_GWh" fld="5"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A4476-AD11-45A6-85EB-3F48FDD3E4D2}" name="PivotTable10"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D46" firstHeaderRow="0" firstDataRow="1" firstDataCol="1"/>
  <pivotFields count="7">
    <pivotField showAll="0">
      <items count="7">
        <item x="0"/>
        <item x="1"/>
        <item x="2"/>
        <item x="3"/>
        <item x="4"/>
        <item x="5"/>
        <item t="default"/>
      </items>
    </pivotField>
    <pivotField axis="axisRow" showAll="0">
      <items count="6">
        <item x="0"/>
        <item x="3"/>
        <item x="1"/>
        <item x="4"/>
        <item x="2"/>
        <item t="default"/>
      </items>
    </pivotField>
    <pivotField dataField="1" showAll="0"/>
    <pivotField dataField="1" showAll="0"/>
    <pivotField dataField="1" showAll="0"/>
    <pivotField showAll="0"/>
    <pivotField showAll="0">
      <items count="7">
        <item m="1" x="4"/>
        <item x="1"/>
        <item m="1" x="3"/>
        <item x="0"/>
        <item m="1" x="5"/>
        <item x="2"/>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Average of Residential_GWh" fld="2" subtotal="average" baseField="1" baseItem="0"/>
    <dataField name="Average of Commercial_GWh" fld="3" subtotal="average" baseField="1" baseItem="0"/>
    <dataField name="Average of Industrial_GWh" fld="4" subtotal="average" baseField="1"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59F27-4CB2-4204-854B-3E22C5959719}" name="PivotTable9"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G38" firstHeaderRow="1" firstDataRow="2" firstDataCol="1"/>
  <pivotFields count="7">
    <pivotField showAll="0">
      <items count="7">
        <item x="0"/>
        <item x="1"/>
        <item x="2"/>
        <item x="3"/>
        <item x="4"/>
        <item x="5"/>
        <item t="default"/>
      </items>
    </pivotField>
    <pivotField axis="axisCol" showAll="0">
      <items count="6">
        <item x="0"/>
        <item x="3"/>
        <item x="1"/>
        <item x="4"/>
        <item x="2"/>
        <item t="default"/>
      </items>
    </pivotField>
    <pivotField showAll="0"/>
    <pivotField showAll="0"/>
    <pivotField showAll="0"/>
    <pivotField dataField="1" showAll="0"/>
    <pivotField axis="axisRow" showAll="0">
      <items count="7">
        <item m="1" x="4"/>
        <item m="1" x="3"/>
        <item m="1" x="5"/>
        <item x="0"/>
        <item x="1"/>
        <item x="2"/>
        <item t="default"/>
      </items>
    </pivotField>
  </pivotFields>
  <rowFields count="1">
    <field x="6"/>
  </rowFields>
  <rowItems count="4">
    <i>
      <x v="3"/>
    </i>
    <i>
      <x v="4"/>
    </i>
    <i>
      <x v="5"/>
    </i>
    <i t="grand">
      <x/>
    </i>
  </rowItems>
  <colFields count="1">
    <field x="1"/>
  </colFields>
  <colItems count="6">
    <i>
      <x/>
    </i>
    <i>
      <x v="1"/>
    </i>
    <i>
      <x v="2"/>
    </i>
    <i>
      <x v="3"/>
    </i>
    <i>
      <x v="4"/>
    </i>
    <i t="grand">
      <x/>
    </i>
  </colItems>
  <dataFields count="1">
    <dataField name="Average of Total_GWh" fld="5" subtotal="average" baseField="6"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39036-5488-465B-AAEB-98E81B697F65}" name="PivotTable8"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I7" firstHeaderRow="1" firstDataRow="1" firstDataCol="1"/>
  <pivotFields count="7">
    <pivotField showAll="0">
      <items count="7">
        <item x="0"/>
        <item x="1"/>
        <item x="2"/>
        <item x="3"/>
        <item x="4"/>
        <item x="5"/>
        <item t="default"/>
      </items>
    </pivotField>
    <pivotField axis="axisRow" showAll="0">
      <items count="6">
        <item x="0"/>
        <item x="3"/>
        <item x="1"/>
        <item x="4"/>
        <item x="2"/>
        <item t="default"/>
      </items>
    </pivotField>
    <pivotField showAll="0"/>
    <pivotField showAll="0"/>
    <pivotField showAll="0"/>
    <pivotField dataField="1" showAll="0"/>
    <pivotField showAll="0">
      <items count="7">
        <item m="1" x="4"/>
        <item x="1"/>
        <item m="1" x="3"/>
        <item x="0"/>
        <item m="1" x="5"/>
        <item x="2"/>
        <item t="default"/>
      </items>
    </pivotField>
  </pivotFields>
  <rowFields count="1">
    <field x="1"/>
  </rowFields>
  <rowItems count="6">
    <i>
      <x/>
    </i>
    <i>
      <x v="1"/>
    </i>
    <i>
      <x v="2"/>
    </i>
    <i>
      <x v="3"/>
    </i>
    <i>
      <x v="4"/>
    </i>
    <i t="grand">
      <x/>
    </i>
  </rowItems>
  <colItems count="1">
    <i/>
  </colItems>
  <dataFields count="1">
    <dataField name="Average of Total_GWh" fld="5" subtotal="average" baseField="6" baseItem="0"/>
  </dataFields>
  <chartFormats count="7">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604890-87CE-40AD-B581-EDD9741B2386}" sourceName="Year">
  <pivotTables>
    <pivotTable tabId="5" name="PivotTable8"/>
    <pivotTable tabId="5" name="PivotTable10"/>
    <pivotTable tabId="5" name="PivotTable11"/>
    <pivotTable tabId="5" name="PivotTable9"/>
  </pivotTables>
  <data>
    <tabular pivotCacheId="165899791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irate" xr10:uid="{6228D87E-B744-40C1-A71D-6CB03A9B24C6}" sourceName="Emirate">
  <pivotTables>
    <pivotTable tabId="5" name="PivotTable8"/>
    <pivotTable tabId="5" name="PivotTable10"/>
    <pivotTable tabId="5" name="PivotTable11"/>
    <pivotTable tabId="5" name="PivotTable9"/>
  </pivotTables>
  <data>
    <tabular pivotCacheId="1658997915">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8CFE6E-A0B3-4710-8820-1531294A12A9}" sourceName="Category">
  <pivotTables>
    <pivotTable tabId="5" name="PivotTable8"/>
    <pivotTable tabId="5" name="PivotTable10"/>
    <pivotTable tabId="5" name="PivotTable11"/>
    <pivotTable tabId="5" name="PivotTable9"/>
  </pivotTables>
  <data>
    <tabular pivotCacheId="1658997915">
      <items count="6">
        <i x="1" s="1"/>
        <i x="0" s="1"/>
        <i x="2" s="1"/>
        <i x="4" s="1" nd="1"/>
        <i x="3"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1CEC99-F161-4780-A73C-657A3C122F73}" cache="Slicer_Year" caption="Year" style="SlicerStyleDark5" rowHeight="257175"/>
  <slicer name="Emirate" xr10:uid="{28134227-FE97-4013-96E0-8EA203CC9E5D}" cache="Slicer_Emirate" caption="Emirate" style="SlicerStyleDark5" rowHeight="257175"/>
  <slicer name="Category" xr10:uid="{AC9EEA55-1637-4AC6-BD38-FCD4397E4940}" cache="Slicer_Category" caption="Category"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7ECEAB-B397-4003-B426-235DC3CAB0B9}" name="Table2" displayName="Table2" ref="A1:G31" totalsRowShown="0">
  <autoFilter ref="A1:G31" xr:uid="{7A7ECEAB-B397-4003-B426-235DC3CAB0B9}"/>
  <tableColumns count="7">
    <tableColumn id="1" xr3:uid="{809EE6CB-91E7-40DA-8B6B-7E37716DB539}" name="Year"/>
    <tableColumn id="2" xr3:uid="{B98A9F68-3FA6-4C2D-B1B7-C2B03E0BEED9}" name="Emirate"/>
    <tableColumn id="3" xr3:uid="{C52B740E-0D85-4004-809D-068283A41E7F}" name="Residential_GWh"/>
    <tableColumn id="4" xr3:uid="{D277DAE4-D2D2-41D6-94E0-2349601985FB}" name="Commercial_GWh"/>
    <tableColumn id="5" xr3:uid="{4ECF1DE5-341D-495B-BF49-7A14C0BF845B}" name="Industrial_GWh"/>
    <tableColumn id="6" xr3:uid="{7A1E01C0-FE70-4392-8410-802778561CCC}" name="Total_GWh"/>
    <tableColumn id="7" xr3:uid="{3EB15B0A-13A9-4B19-81CE-7204ACFFE38F}" name="Category" dataDxfId="0">
      <calculatedColumnFormula>IF(F2&gt;50000,"&gt;50000GWh",IF(F2&gt;10000,"&gt;10000GWh","&lt;1000GWh"))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6A19-3E69-494E-B679-0DD70052C0DA}">
  <dimension ref="A1:F31"/>
  <sheetViews>
    <sheetView workbookViewId="0">
      <selection activeCell="B3" sqref="A1:F31"/>
    </sheetView>
  </sheetViews>
  <sheetFormatPr defaultRowHeight="15" x14ac:dyDescent="0.25"/>
  <cols>
    <col min="1" max="1" width="5" bestFit="1" customWidth="1"/>
    <col min="2" max="2" width="15" bestFit="1" customWidth="1"/>
    <col min="3" max="3" width="16" bestFit="1" customWidth="1"/>
    <col min="4" max="4" width="16.85546875" bestFit="1" customWidth="1"/>
    <col min="5" max="5" width="14.7109375" bestFit="1" customWidth="1"/>
    <col min="6" max="6" width="10.42578125" bestFit="1" customWidth="1"/>
  </cols>
  <sheetData>
    <row r="1" spans="1:6" x14ac:dyDescent="0.25">
      <c r="A1" t="s">
        <v>0</v>
      </c>
      <c r="B1" t="s">
        <v>1</v>
      </c>
      <c r="C1" t="s">
        <v>2</v>
      </c>
      <c r="D1" t="s">
        <v>3</v>
      </c>
      <c r="E1" t="s">
        <v>4</v>
      </c>
      <c r="F1" t="s">
        <v>5</v>
      </c>
    </row>
    <row r="2" spans="1:6" x14ac:dyDescent="0.25">
      <c r="A2">
        <v>2019</v>
      </c>
      <c r="B2" t="s">
        <v>6</v>
      </c>
      <c r="C2">
        <v>18500</v>
      </c>
      <c r="D2">
        <v>9200</v>
      </c>
      <c r="E2">
        <v>14100</v>
      </c>
      <c r="F2">
        <v>41800</v>
      </c>
    </row>
    <row r="3" spans="1:6" x14ac:dyDescent="0.25">
      <c r="A3">
        <v>2019</v>
      </c>
      <c r="B3" t="s">
        <v>7</v>
      </c>
      <c r="C3">
        <v>17200</v>
      </c>
      <c r="D3">
        <v>10100</v>
      </c>
      <c r="E3">
        <v>9800</v>
      </c>
      <c r="F3">
        <v>37100</v>
      </c>
    </row>
    <row r="4" spans="1:6" x14ac:dyDescent="0.25">
      <c r="A4">
        <v>2019</v>
      </c>
      <c r="B4" t="s">
        <v>8</v>
      </c>
      <c r="C4">
        <v>8400</v>
      </c>
      <c r="D4">
        <v>3100</v>
      </c>
      <c r="E4">
        <v>4200</v>
      </c>
      <c r="F4">
        <v>15700</v>
      </c>
    </row>
    <row r="5" spans="1:6" x14ac:dyDescent="0.25">
      <c r="A5">
        <v>2019</v>
      </c>
      <c r="B5" t="s">
        <v>9</v>
      </c>
      <c r="C5">
        <v>2100</v>
      </c>
      <c r="D5">
        <v>900</v>
      </c>
      <c r="E5">
        <v>700</v>
      </c>
      <c r="F5">
        <v>3700</v>
      </c>
    </row>
    <row r="6" spans="1:6" x14ac:dyDescent="0.25">
      <c r="A6">
        <v>2019</v>
      </c>
      <c r="B6" t="s">
        <v>10</v>
      </c>
      <c r="C6">
        <v>2600</v>
      </c>
      <c r="D6">
        <v>1100</v>
      </c>
      <c r="E6">
        <v>1800</v>
      </c>
      <c r="F6">
        <v>5500</v>
      </c>
    </row>
    <row r="7" spans="1:6" x14ac:dyDescent="0.25">
      <c r="A7">
        <v>2020</v>
      </c>
      <c r="B7" t="s">
        <v>6</v>
      </c>
      <c r="C7">
        <v>19200</v>
      </c>
      <c r="D7">
        <v>8700</v>
      </c>
      <c r="E7">
        <v>13600</v>
      </c>
      <c r="F7">
        <v>41500</v>
      </c>
    </row>
    <row r="8" spans="1:6" x14ac:dyDescent="0.25">
      <c r="A8">
        <v>2020</v>
      </c>
      <c r="B8" t="s">
        <v>7</v>
      </c>
      <c r="C8">
        <v>16800</v>
      </c>
      <c r="D8">
        <v>9200</v>
      </c>
      <c r="E8">
        <v>9100</v>
      </c>
      <c r="F8">
        <v>35100</v>
      </c>
    </row>
    <row r="9" spans="1:6" x14ac:dyDescent="0.25">
      <c r="A9">
        <v>2020</v>
      </c>
      <c r="B9" t="s">
        <v>8</v>
      </c>
      <c r="C9">
        <v>8600</v>
      </c>
      <c r="D9">
        <v>2800</v>
      </c>
      <c r="E9">
        <v>3900</v>
      </c>
      <c r="F9">
        <v>15300</v>
      </c>
    </row>
    <row r="10" spans="1:6" x14ac:dyDescent="0.25">
      <c r="A10">
        <v>2020</v>
      </c>
      <c r="B10" t="s">
        <v>9</v>
      </c>
      <c r="C10">
        <v>2200</v>
      </c>
      <c r="D10">
        <v>850</v>
      </c>
      <c r="E10">
        <v>650</v>
      </c>
      <c r="F10">
        <v>3700</v>
      </c>
    </row>
    <row r="11" spans="1:6" x14ac:dyDescent="0.25">
      <c r="A11">
        <v>2020</v>
      </c>
      <c r="B11" t="s">
        <v>10</v>
      </c>
      <c r="C11">
        <v>2700</v>
      </c>
      <c r="D11">
        <v>1050</v>
      </c>
      <c r="E11">
        <v>1700</v>
      </c>
      <c r="F11">
        <v>5450</v>
      </c>
    </row>
    <row r="12" spans="1:6" x14ac:dyDescent="0.25">
      <c r="A12">
        <v>2021</v>
      </c>
      <c r="B12" t="s">
        <v>6</v>
      </c>
      <c r="C12">
        <v>20100</v>
      </c>
      <c r="D12">
        <v>9600</v>
      </c>
      <c r="E12">
        <v>14800</v>
      </c>
      <c r="F12">
        <v>44500</v>
      </c>
    </row>
    <row r="13" spans="1:6" x14ac:dyDescent="0.25">
      <c r="A13">
        <v>2021</v>
      </c>
      <c r="B13" t="s">
        <v>7</v>
      </c>
      <c r="C13">
        <v>17900</v>
      </c>
      <c r="D13">
        <v>10400</v>
      </c>
      <c r="E13">
        <v>9800</v>
      </c>
      <c r="F13">
        <v>38100</v>
      </c>
    </row>
    <row r="14" spans="1:6" x14ac:dyDescent="0.25">
      <c r="A14">
        <v>2021</v>
      </c>
      <c r="B14" t="s">
        <v>8</v>
      </c>
      <c r="C14">
        <v>8900</v>
      </c>
      <c r="D14">
        <v>3300</v>
      </c>
      <c r="E14">
        <v>4300</v>
      </c>
      <c r="F14">
        <v>16500</v>
      </c>
    </row>
    <row r="15" spans="1:6" x14ac:dyDescent="0.25">
      <c r="A15">
        <v>2021</v>
      </c>
      <c r="B15" t="s">
        <v>9</v>
      </c>
      <c r="C15">
        <v>2350</v>
      </c>
      <c r="D15">
        <v>920</v>
      </c>
      <c r="E15">
        <v>720</v>
      </c>
      <c r="F15">
        <v>3990</v>
      </c>
    </row>
    <row r="16" spans="1:6" x14ac:dyDescent="0.25">
      <c r="A16">
        <v>2021</v>
      </c>
      <c r="B16" t="s">
        <v>10</v>
      </c>
      <c r="C16">
        <v>2850</v>
      </c>
      <c r="D16">
        <v>1200</v>
      </c>
      <c r="E16">
        <v>1850</v>
      </c>
      <c r="F16">
        <v>5900</v>
      </c>
    </row>
    <row r="17" spans="1:6" x14ac:dyDescent="0.25">
      <c r="A17">
        <v>2022</v>
      </c>
      <c r="B17" t="s">
        <v>6</v>
      </c>
      <c r="C17">
        <v>21400</v>
      </c>
      <c r="D17">
        <v>10200</v>
      </c>
      <c r="E17">
        <v>15600</v>
      </c>
      <c r="F17">
        <v>47200</v>
      </c>
    </row>
    <row r="18" spans="1:6" x14ac:dyDescent="0.25">
      <c r="A18">
        <v>2022</v>
      </c>
      <c r="B18" t="s">
        <v>7</v>
      </c>
      <c r="C18">
        <v>18800</v>
      </c>
      <c r="D18">
        <v>11100</v>
      </c>
      <c r="E18">
        <v>10500</v>
      </c>
      <c r="F18">
        <v>40400</v>
      </c>
    </row>
    <row r="19" spans="1:6" x14ac:dyDescent="0.25">
      <c r="A19">
        <v>2022</v>
      </c>
      <c r="B19" t="s">
        <v>8</v>
      </c>
      <c r="C19">
        <v>9400</v>
      </c>
      <c r="D19">
        <v>3600</v>
      </c>
      <c r="E19">
        <v>4500</v>
      </c>
      <c r="F19">
        <v>17500</v>
      </c>
    </row>
    <row r="20" spans="1:6" x14ac:dyDescent="0.25">
      <c r="A20">
        <v>2022</v>
      </c>
      <c r="B20" t="s">
        <v>9</v>
      </c>
      <c r="C20">
        <v>2500</v>
      </c>
      <c r="D20">
        <v>980</v>
      </c>
      <c r="E20">
        <v>760</v>
      </c>
      <c r="F20">
        <v>4240</v>
      </c>
    </row>
    <row r="21" spans="1:6" x14ac:dyDescent="0.25">
      <c r="A21">
        <v>2022</v>
      </c>
      <c r="B21" t="s">
        <v>10</v>
      </c>
      <c r="C21">
        <v>3000</v>
      </c>
      <c r="D21">
        <v>1280</v>
      </c>
      <c r="E21">
        <v>1920</v>
      </c>
      <c r="F21">
        <v>6200</v>
      </c>
    </row>
    <row r="22" spans="1:6" x14ac:dyDescent="0.25">
      <c r="A22">
        <v>2023</v>
      </c>
      <c r="B22" t="s">
        <v>6</v>
      </c>
      <c r="C22">
        <v>22600</v>
      </c>
      <c r="D22">
        <v>10800</v>
      </c>
      <c r="E22">
        <v>16200</v>
      </c>
      <c r="F22">
        <v>49600</v>
      </c>
    </row>
    <row r="23" spans="1:6" x14ac:dyDescent="0.25">
      <c r="A23">
        <v>2023</v>
      </c>
      <c r="B23" t="s">
        <v>7</v>
      </c>
      <c r="C23">
        <v>19700</v>
      </c>
      <c r="D23">
        <v>11800</v>
      </c>
      <c r="E23">
        <v>11100</v>
      </c>
      <c r="F23">
        <v>42600</v>
      </c>
    </row>
    <row r="24" spans="1:6" x14ac:dyDescent="0.25">
      <c r="A24">
        <v>2023</v>
      </c>
      <c r="B24" t="s">
        <v>8</v>
      </c>
      <c r="C24">
        <v>9800</v>
      </c>
      <c r="D24">
        <v>3900</v>
      </c>
      <c r="E24">
        <v>4700</v>
      </c>
      <c r="F24">
        <v>18400</v>
      </c>
    </row>
    <row r="25" spans="1:6" x14ac:dyDescent="0.25">
      <c r="A25">
        <v>2023</v>
      </c>
      <c r="B25" t="s">
        <v>9</v>
      </c>
      <c r="C25">
        <v>2650</v>
      </c>
      <c r="D25">
        <v>1040</v>
      </c>
      <c r="E25">
        <v>810</v>
      </c>
      <c r="F25">
        <v>4500</v>
      </c>
    </row>
    <row r="26" spans="1:6" x14ac:dyDescent="0.25">
      <c r="A26">
        <v>2023</v>
      </c>
      <c r="B26" t="s">
        <v>10</v>
      </c>
      <c r="C26">
        <v>3180</v>
      </c>
      <c r="D26">
        <v>1360</v>
      </c>
      <c r="E26">
        <v>2010</v>
      </c>
      <c r="F26">
        <v>6550</v>
      </c>
    </row>
    <row r="27" spans="1:6" x14ac:dyDescent="0.25">
      <c r="A27">
        <v>2024</v>
      </c>
      <c r="B27" t="s">
        <v>6</v>
      </c>
      <c r="C27">
        <v>23800</v>
      </c>
      <c r="D27">
        <v>11500</v>
      </c>
      <c r="E27">
        <v>16900</v>
      </c>
      <c r="F27">
        <v>52200</v>
      </c>
    </row>
    <row r="28" spans="1:6" x14ac:dyDescent="0.25">
      <c r="A28">
        <v>2024</v>
      </c>
      <c r="B28" t="s">
        <v>7</v>
      </c>
      <c r="C28">
        <v>20800</v>
      </c>
      <c r="D28">
        <v>12600</v>
      </c>
      <c r="E28">
        <v>11800</v>
      </c>
      <c r="F28">
        <v>45200</v>
      </c>
    </row>
    <row r="29" spans="1:6" x14ac:dyDescent="0.25">
      <c r="A29">
        <v>2024</v>
      </c>
      <c r="B29" t="s">
        <v>8</v>
      </c>
      <c r="C29">
        <v>10300</v>
      </c>
      <c r="D29">
        <v>4200</v>
      </c>
      <c r="E29">
        <v>4950</v>
      </c>
      <c r="F29">
        <v>19450</v>
      </c>
    </row>
    <row r="30" spans="1:6" x14ac:dyDescent="0.25">
      <c r="A30">
        <v>2024</v>
      </c>
      <c r="B30" t="s">
        <v>9</v>
      </c>
      <c r="C30">
        <v>2800</v>
      </c>
      <c r="D30">
        <v>1100</v>
      </c>
      <c r="E30">
        <v>860</v>
      </c>
      <c r="F30">
        <v>4760</v>
      </c>
    </row>
    <row r="31" spans="1:6" x14ac:dyDescent="0.25">
      <c r="A31">
        <v>2024</v>
      </c>
      <c r="B31" t="s">
        <v>10</v>
      </c>
      <c r="C31">
        <v>3350</v>
      </c>
      <c r="D31">
        <v>1450</v>
      </c>
      <c r="E31">
        <v>2100</v>
      </c>
      <c r="F31">
        <v>6900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8B64F-45BA-47C9-973D-CE4F5E1A9E0D}">
  <dimension ref="A1:I56"/>
  <sheetViews>
    <sheetView tabSelected="1" topLeftCell="A19" workbookViewId="0">
      <selection activeCell="L26" sqref="L26"/>
    </sheetView>
  </sheetViews>
  <sheetFormatPr defaultRowHeight="15" x14ac:dyDescent="0.25"/>
  <cols>
    <col min="1" max="1" width="20.85546875" bestFit="1" customWidth="1"/>
    <col min="2" max="2" width="16.85546875" bestFit="1" customWidth="1"/>
    <col min="3" max="3" width="12" bestFit="1" customWidth="1"/>
    <col min="4" max="4" width="6.28515625" bestFit="1" customWidth="1"/>
    <col min="5" max="5" width="14.7109375" bestFit="1" customWidth="1"/>
    <col min="6" max="7" width="12" bestFit="1" customWidth="1"/>
    <col min="8" max="8" width="15" bestFit="1" customWidth="1"/>
    <col min="9" max="9" width="20.85546875" bestFit="1" customWidth="1"/>
    <col min="10" max="10" width="14.7109375" bestFit="1" customWidth="1"/>
    <col min="11" max="11" width="7.7109375" bestFit="1" customWidth="1"/>
    <col min="12" max="12" width="29.42578125" bestFit="1" customWidth="1"/>
    <col min="13" max="13" width="27" bestFit="1" customWidth="1"/>
    <col min="14" max="14" width="6.28515625" bestFit="1" customWidth="1"/>
    <col min="15" max="15" width="14.7109375" bestFit="1" customWidth="1"/>
    <col min="16" max="16" width="7.7109375" bestFit="1" customWidth="1"/>
    <col min="17" max="17" width="28.7109375" bestFit="1" customWidth="1"/>
    <col min="18" max="18" width="29.42578125" bestFit="1" customWidth="1"/>
    <col min="19" max="19" width="27" bestFit="1" customWidth="1"/>
    <col min="20" max="37" width="6" bestFit="1" customWidth="1"/>
    <col min="38" max="38" width="11.28515625" bestFit="1" customWidth="1"/>
  </cols>
  <sheetData>
    <row r="1" spans="1:9" x14ac:dyDescent="0.25">
      <c r="A1" t="s">
        <v>0</v>
      </c>
      <c r="B1" t="s">
        <v>1</v>
      </c>
      <c r="C1" t="s">
        <v>2</v>
      </c>
      <c r="D1" t="s">
        <v>3</v>
      </c>
      <c r="E1" t="s">
        <v>4</v>
      </c>
      <c r="F1" t="s">
        <v>5</v>
      </c>
      <c r="G1" t="s">
        <v>17</v>
      </c>
      <c r="H1" s="1" t="s">
        <v>11</v>
      </c>
      <c r="I1" t="s">
        <v>16</v>
      </c>
    </row>
    <row r="2" spans="1:9" x14ac:dyDescent="0.25">
      <c r="A2">
        <v>2019</v>
      </c>
      <c r="B2" t="s">
        <v>6</v>
      </c>
      <c r="C2">
        <v>18500</v>
      </c>
      <c r="D2">
        <v>9200</v>
      </c>
      <c r="E2">
        <v>14100</v>
      </c>
      <c r="F2">
        <v>41800</v>
      </c>
      <c r="G2" t="str">
        <f t="shared" ref="G2:G31" si="0">IF(F2&gt;50000,"&gt;50000GWh",IF(F2&gt;10000,"&gt;10000GWh","&lt;1000GWh"))</f>
        <v>&gt;10000GWh</v>
      </c>
      <c r="H2" s="2" t="s">
        <v>6</v>
      </c>
      <c r="I2" s="3">
        <v>46133.333333333336</v>
      </c>
    </row>
    <row r="3" spans="1:9" x14ac:dyDescent="0.25">
      <c r="A3">
        <v>2019</v>
      </c>
      <c r="B3" t="s">
        <v>7</v>
      </c>
      <c r="C3">
        <v>17200</v>
      </c>
      <c r="D3">
        <v>10100</v>
      </c>
      <c r="E3">
        <v>9800</v>
      </c>
      <c r="F3">
        <v>37100</v>
      </c>
      <c r="G3" t="str">
        <f t="shared" si="0"/>
        <v>&gt;10000GWh</v>
      </c>
      <c r="H3" s="2" t="s">
        <v>9</v>
      </c>
      <c r="I3" s="3">
        <v>4148.333333333333</v>
      </c>
    </row>
    <row r="4" spans="1:9" x14ac:dyDescent="0.25">
      <c r="A4">
        <v>2019</v>
      </c>
      <c r="B4" t="s">
        <v>8</v>
      </c>
      <c r="C4">
        <v>8400</v>
      </c>
      <c r="D4">
        <v>3100</v>
      </c>
      <c r="E4">
        <v>4200</v>
      </c>
      <c r="F4">
        <v>15700</v>
      </c>
      <c r="G4" t="str">
        <f t="shared" si="0"/>
        <v>&gt;10000GWh</v>
      </c>
      <c r="H4" s="2" t="s">
        <v>7</v>
      </c>
      <c r="I4" s="3">
        <v>39750</v>
      </c>
    </row>
    <row r="5" spans="1:9" x14ac:dyDescent="0.25">
      <c r="A5">
        <v>2019</v>
      </c>
      <c r="B5" t="s">
        <v>9</v>
      </c>
      <c r="C5">
        <v>2100</v>
      </c>
      <c r="D5">
        <v>900</v>
      </c>
      <c r="E5">
        <v>700</v>
      </c>
      <c r="F5">
        <v>3700</v>
      </c>
      <c r="G5" t="str">
        <f t="shared" si="0"/>
        <v>&lt;1000GWh</v>
      </c>
      <c r="H5" s="2" t="s">
        <v>10</v>
      </c>
      <c r="I5" s="3">
        <v>6083.333333333333</v>
      </c>
    </row>
    <row r="6" spans="1:9" x14ac:dyDescent="0.25">
      <c r="A6">
        <v>2019</v>
      </c>
      <c r="B6" t="s">
        <v>10</v>
      </c>
      <c r="C6">
        <v>2600</v>
      </c>
      <c r="D6">
        <v>1100</v>
      </c>
      <c r="E6">
        <v>1800</v>
      </c>
      <c r="F6">
        <v>5500</v>
      </c>
      <c r="G6" t="str">
        <f t="shared" si="0"/>
        <v>&lt;1000GWh</v>
      </c>
      <c r="H6" s="2" t="s">
        <v>8</v>
      </c>
      <c r="I6" s="3">
        <v>17141.666666666668</v>
      </c>
    </row>
    <row r="7" spans="1:9" x14ac:dyDescent="0.25">
      <c r="A7">
        <v>2020</v>
      </c>
      <c r="B7" t="s">
        <v>6</v>
      </c>
      <c r="C7">
        <v>19200</v>
      </c>
      <c r="D7">
        <v>8700</v>
      </c>
      <c r="E7">
        <v>13600</v>
      </c>
      <c r="F7">
        <v>41500</v>
      </c>
      <c r="G7" t="str">
        <f t="shared" si="0"/>
        <v>&gt;10000GWh</v>
      </c>
      <c r="H7" s="2" t="s">
        <v>12</v>
      </c>
      <c r="I7" s="3">
        <v>22651.333333333332</v>
      </c>
    </row>
    <row r="8" spans="1:9" x14ac:dyDescent="0.25">
      <c r="A8">
        <v>2020</v>
      </c>
      <c r="B8" t="s">
        <v>7</v>
      </c>
      <c r="C8">
        <v>16800</v>
      </c>
      <c r="D8">
        <v>9200</v>
      </c>
      <c r="E8">
        <v>9100</v>
      </c>
      <c r="F8">
        <v>35100</v>
      </c>
      <c r="G8" t="str">
        <f t="shared" si="0"/>
        <v>&gt;10000GWh</v>
      </c>
    </row>
    <row r="9" spans="1:9" x14ac:dyDescent="0.25">
      <c r="A9">
        <v>2020</v>
      </c>
      <c r="B9" t="s">
        <v>8</v>
      </c>
      <c r="C9">
        <v>8600</v>
      </c>
      <c r="D9">
        <v>2800</v>
      </c>
      <c r="E9">
        <v>3900</v>
      </c>
      <c r="F9">
        <v>15300</v>
      </c>
      <c r="G9" t="str">
        <f t="shared" si="0"/>
        <v>&gt;10000GWh</v>
      </c>
    </row>
    <row r="10" spans="1:9" x14ac:dyDescent="0.25">
      <c r="A10">
        <v>2020</v>
      </c>
      <c r="B10" t="s">
        <v>9</v>
      </c>
      <c r="C10">
        <v>2200</v>
      </c>
      <c r="D10">
        <v>850</v>
      </c>
      <c r="E10">
        <v>650</v>
      </c>
      <c r="F10">
        <v>3700</v>
      </c>
      <c r="G10" t="str">
        <f t="shared" si="0"/>
        <v>&lt;1000GWh</v>
      </c>
    </row>
    <row r="11" spans="1:9" x14ac:dyDescent="0.25">
      <c r="A11">
        <v>2020</v>
      </c>
      <c r="B11" t="s">
        <v>10</v>
      </c>
      <c r="C11">
        <v>2700</v>
      </c>
      <c r="D11">
        <v>1050</v>
      </c>
      <c r="E11">
        <v>1700</v>
      </c>
      <c r="F11">
        <v>5450</v>
      </c>
      <c r="G11" t="str">
        <f t="shared" si="0"/>
        <v>&lt;1000GWh</v>
      </c>
    </row>
    <row r="12" spans="1:9" x14ac:dyDescent="0.25">
      <c r="A12">
        <v>2021</v>
      </c>
      <c r="B12" t="s">
        <v>6</v>
      </c>
      <c r="C12">
        <v>20100</v>
      </c>
      <c r="D12">
        <v>9600</v>
      </c>
      <c r="E12">
        <v>14800</v>
      </c>
      <c r="F12">
        <v>44500</v>
      </c>
      <c r="G12" t="str">
        <f t="shared" si="0"/>
        <v>&gt;10000GWh</v>
      </c>
    </row>
    <row r="13" spans="1:9" x14ac:dyDescent="0.25">
      <c r="A13">
        <v>2021</v>
      </c>
      <c r="B13" t="s">
        <v>7</v>
      </c>
      <c r="C13">
        <v>17900</v>
      </c>
      <c r="D13">
        <v>10400</v>
      </c>
      <c r="E13">
        <v>9800</v>
      </c>
      <c r="F13">
        <v>38100</v>
      </c>
      <c r="G13" t="str">
        <f t="shared" si="0"/>
        <v>&gt;10000GWh</v>
      </c>
    </row>
    <row r="14" spans="1:9" x14ac:dyDescent="0.25">
      <c r="A14">
        <v>2021</v>
      </c>
      <c r="B14" t="s">
        <v>8</v>
      </c>
      <c r="C14">
        <v>8900</v>
      </c>
      <c r="D14">
        <v>3300</v>
      </c>
      <c r="E14">
        <v>4300</v>
      </c>
      <c r="F14">
        <v>16500</v>
      </c>
      <c r="G14" t="str">
        <f t="shared" si="0"/>
        <v>&gt;10000GWh</v>
      </c>
    </row>
    <row r="15" spans="1:9" x14ac:dyDescent="0.25">
      <c r="A15">
        <v>2021</v>
      </c>
      <c r="B15" t="s">
        <v>9</v>
      </c>
      <c r="C15">
        <v>2350</v>
      </c>
      <c r="D15">
        <v>920</v>
      </c>
      <c r="E15">
        <v>720</v>
      </c>
      <c r="F15">
        <v>3990</v>
      </c>
      <c r="G15" t="str">
        <f t="shared" si="0"/>
        <v>&lt;1000GWh</v>
      </c>
    </row>
    <row r="16" spans="1:9" x14ac:dyDescent="0.25">
      <c r="A16">
        <v>2021</v>
      </c>
      <c r="B16" t="s">
        <v>10</v>
      </c>
      <c r="C16">
        <v>2850</v>
      </c>
      <c r="D16">
        <v>1200</v>
      </c>
      <c r="E16">
        <v>1850</v>
      </c>
      <c r="F16">
        <v>5900</v>
      </c>
      <c r="G16" t="str">
        <f t="shared" si="0"/>
        <v>&lt;1000GWh</v>
      </c>
    </row>
    <row r="17" spans="1:7" x14ac:dyDescent="0.25">
      <c r="A17">
        <v>2022</v>
      </c>
      <c r="B17" t="s">
        <v>6</v>
      </c>
      <c r="C17">
        <v>21400</v>
      </c>
      <c r="D17">
        <v>10200</v>
      </c>
      <c r="E17">
        <v>15600</v>
      </c>
      <c r="F17">
        <v>47200</v>
      </c>
      <c r="G17" t="str">
        <f t="shared" si="0"/>
        <v>&gt;10000GWh</v>
      </c>
    </row>
    <row r="18" spans="1:7" x14ac:dyDescent="0.25">
      <c r="A18">
        <v>2022</v>
      </c>
      <c r="B18" t="s">
        <v>7</v>
      </c>
      <c r="C18">
        <v>18800</v>
      </c>
      <c r="D18">
        <v>11100</v>
      </c>
      <c r="E18">
        <v>10500</v>
      </c>
      <c r="F18">
        <v>40400</v>
      </c>
      <c r="G18" t="str">
        <f t="shared" si="0"/>
        <v>&gt;10000GWh</v>
      </c>
    </row>
    <row r="19" spans="1:7" x14ac:dyDescent="0.25">
      <c r="A19">
        <v>2022</v>
      </c>
      <c r="B19" t="s">
        <v>8</v>
      </c>
      <c r="C19">
        <v>9400</v>
      </c>
      <c r="D19">
        <v>3600</v>
      </c>
      <c r="E19">
        <v>4500</v>
      </c>
      <c r="F19">
        <v>17500</v>
      </c>
      <c r="G19" t="str">
        <f t="shared" si="0"/>
        <v>&gt;10000GWh</v>
      </c>
    </row>
    <row r="20" spans="1:7" x14ac:dyDescent="0.25">
      <c r="A20">
        <v>2022</v>
      </c>
      <c r="B20" t="s">
        <v>9</v>
      </c>
      <c r="C20">
        <v>2500</v>
      </c>
      <c r="D20">
        <v>980</v>
      </c>
      <c r="E20">
        <v>760</v>
      </c>
      <c r="F20">
        <v>4240</v>
      </c>
      <c r="G20" t="str">
        <f t="shared" si="0"/>
        <v>&lt;1000GWh</v>
      </c>
    </row>
    <row r="21" spans="1:7" x14ac:dyDescent="0.25">
      <c r="A21">
        <v>2022</v>
      </c>
      <c r="B21" t="s">
        <v>10</v>
      </c>
      <c r="C21">
        <v>3000</v>
      </c>
      <c r="D21">
        <v>1280</v>
      </c>
      <c r="E21">
        <v>1920</v>
      </c>
      <c r="F21">
        <v>6200</v>
      </c>
      <c r="G21" t="str">
        <f t="shared" si="0"/>
        <v>&lt;1000GWh</v>
      </c>
    </row>
    <row r="22" spans="1:7" x14ac:dyDescent="0.25">
      <c r="A22">
        <v>2023</v>
      </c>
      <c r="B22" t="s">
        <v>6</v>
      </c>
      <c r="C22">
        <v>22600</v>
      </c>
      <c r="D22">
        <v>10800</v>
      </c>
      <c r="E22">
        <v>16200</v>
      </c>
      <c r="F22">
        <v>49600</v>
      </c>
      <c r="G22" t="str">
        <f t="shared" si="0"/>
        <v>&gt;10000GWh</v>
      </c>
    </row>
    <row r="23" spans="1:7" x14ac:dyDescent="0.25">
      <c r="A23">
        <v>2023</v>
      </c>
      <c r="B23" t="s">
        <v>7</v>
      </c>
      <c r="C23">
        <v>19700</v>
      </c>
      <c r="D23">
        <v>11800</v>
      </c>
      <c r="E23">
        <v>11100</v>
      </c>
      <c r="F23">
        <v>42600</v>
      </c>
      <c r="G23" t="str">
        <f t="shared" si="0"/>
        <v>&gt;10000GWh</v>
      </c>
    </row>
    <row r="24" spans="1:7" x14ac:dyDescent="0.25">
      <c r="A24">
        <v>2023</v>
      </c>
      <c r="B24" t="s">
        <v>8</v>
      </c>
      <c r="C24">
        <v>9800</v>
      </c>
      <c r="D24">
        <v>3900</v>
      </c>
      <c r="E24">
        <v>4700</v>
      </c>
      <c r="F24">
        <v>18400</v>
      </c>
      <c r="G24" t="str">
        <f t="shared" si="0"/>
        <v>&gt;10000GWh</v>
      </c>
    </row>
    <row r="25" spans="1:7" x14ac:dyDescent="0.25">
      <c r="A25">
        <v>2023</v>
      </c>
      <c r="B25" t="s">
        <v>9</v>
      </c>
      <c r="C25">
        <v>2650</v>
      </c>
      <c r="D25">
        <v>1040</v>
      </c>
      <c r="E25">
        <v>810</v>
      </c>
      <c r="F25">
        <v>4500</v>
      </c>
      <c r="G25" t="str">
        <f t="shared" si="0"/>
        <v>&lt;1000GWh</v>
      </c>
    </row>
    <row r="26" spans="1:7" x14ac:dyDescent="0.25">
      <c r="A26">
        <v>2023</v>
      </c>
      <c r="B26" t="s">
        <v>10</v>
      </c>
      <c r="C26">
        <v>3180</v>
      </c>
      <c r="D26">
        <v>1360</v>
      </c>
      <c r="E26">
        <v>2010</v>
      </c>
      <c r="F26">
        <v>6550</v>
      </c>
      <c r="G26" t="str">
        <f t="shared" si="0"/>
        <v>&lt;1000GWh</v>
      </c>
    </row>
    <row r="27" spans="1:7" x14ac:dyDescent="0.25">
      <c r="A27">
        <v>2024</v>
      </c>
      <c r="B27" t="s">
        <v>6</v>
      </c>
      <c r="C27">
        <v>23800</v>
      </c>
      <c r="D27">
        <v>11500</v>
      </c>
      <c r="E27">
        <v>16900</v>
      </c>
      <c r="F27">
        <v>52200</v>
      </c>
      <c r="G27" t="str">
        <f t="shared" si="0"/>
        <v>&gt;50000GWh</v>
      </c>
    </row>
    <row r="28" spans="1:7" x14ac:dyDescent="0.25">
      <c r="A28">
        <v>2024</v>
      </c>
      <c r="B28" t="s">
        <v>7</v>
      </c>
      <c r="C28">
        <v>20800</v>
      </c>
      <c r="D28">
        <v>12600</v>
      </c>
      <c r="E28">
        <v>11800</v>
      </c>
      <c r="F28">
        <v>45200</v>
      </c>
      <c r="G28" t="str">
        <f t="shared" si="0"/>
        <v>&gt;10000GWh</v>
      </c>
    </row>
    <row r="29" spans="1:7" x14ac:dyDescent="0.25">
      <c r="A29">
        <v>2024</v>
      </c>
      <c r="B29" t="s">
        <v>8</v>
      </c>
      <c r="C29">
        <v>10300</v>
      </c>
      <c r="D29">
        <v>4200</v>
      </c>
      <c r="E29">
        <v>4950</v>
      </c>
      <c r="F29">
        <v>19450</v>
      </c>
      <c r="G29" t="str">
        <f t="shared" si="0"/>
        <v>&gt;10000GWh</v>
      </c>
    </row>
    <row r="30" spans="1:7" x14ac:dyDescent="0.25">
      <c r="A30">
        <v>2024</v>
      </c>
      <c r="B30" t="s">
        <v>9</v>
      </c>
      <c r="C30">
        <v>2800</v>
      </c>
      <c r="D30">
        <v>1100</v>
      </c>
      <c r="E30">
        <v>860</v>
      </c>
      <c r="F30">
        <v>4760</v>
      </c>
      <c r="G30" t="str">
        <f t="shared" si="0"/>
        <v>&lt;1000GWh</v>
      </c>
    </row>
    <row r="31" spans="1:7" x14ac:dyDescent="0.25">
      <c r="A31">
        <v>2024</v>
      </c>
      <c r="B31" t="s">
        <v>10</v>
      </c>
      <c r="C31">
        <v>3350</v>
      </c>
      <c r="D31">
        <v>1450</v>
      </c>
      <c r="E31">
        <v>2100</v>
      </c>
      <c r="F31">
        <v>6900</v>
      </c>
      <c r="G31" t="str">
        <f t="shared" si="0"/>
        <v>&lt;1000GWh</v>
      </c>
    </row>
    <row r="33" spans="1:7" x14ac:dyDescent="0.25">
      <c r="A33" s="1" t="s">
        <v>16</v>
      </c>
      <c r="B33" s="1" t="s">
        <v>13</v>
      </c>
    </row>
    <row r="34" spans="1:7" x14ac:dyDescent="0.25">
      <c r="A34" s="1" t="s">
        <v>11</v>
      </c>
      <c r="B34" t="s">
        <v>6</v>
      </c>
      <c r="C34" t="s">
        <v>9</v>
      </c>
      <c r="D34" t="s">
        <v>7</v>
      </c>
      <c r="E34" t="s">
        <v>10</v>
      </c>
      <c r="F34" t="s">
        <v>8</v>
      </c>
      <c r="G34" t="s">
        <v>12</v>
      </c>
    </row>
    <row r="35" spans="1:7" x14ac:dyDescent="0.25">
      <c r="A35" s="2" t="s">
        <v>15</v>
      </c>
      <c r="B35" s="3">
        <v>44920</v>
      </c>
      <c r="C35" s="3"/>
      <c r="D35" s="3">
        <v>39750</v>
      </c>
      <c r="E35" s="3"/>
      <c r="F35" s="3">
        <v>17141.666666666668</v>
      </c>
      <c r="G35" s="3">
        <v>33291.176470588238</v>
      </c>
    </row>
    <row r="36" spans="1:7" x14ac:dyDescent="0.25">
      <c r="A36" s="2" t="s">
        <v>18</v>
      </c>
      <c r="B36" s="3"/>
      <c r="C36" s="3">
        <v>4148.333333333333</v>
      </c>
      <c r="D36" s="3"/>
      <c r="E36" s="3">
        <v>6083.333333333333</v>
      </c>
      <c r="F36" s="3"/>
      <c r="G36" s="3">
        <v>5115.833333333333</v>
      </c>
    </row>
    <row r="37" spans="1:7" x14ac:dyDescent="0.25">
      <c r="A37" s="2" t="s">
        <v>14</v>
      </c>
      <c r="B37" s="3">
        <v>52200</v>
      </c>
      <c r="C37" s="3"/>
      <c r="D37" s="3"/>
      <c r="E37" s="3"/>
      <c r="F37" s="3"/>
      <c r="G37" s="3">
        <v>52200</v>
      </c>
    </row>
    <row r="38" spans="1:7" x14ac:dyDescent="0.25">
      <c r="A38" s="2" t="s">
        <v>12</v>
      </c>
      <c r="B38" s="3">
        <v>46133.333333333336</v>
      </c>
      <c r="C38" s="3">
        <v>4148.333333333333</v>
      </c>
      <c r="D38" s="3">
        <v>39750</v>
      </c>
      <c r="E38" s="3">
        <v>6083.333333333333</v>
      </c>
      <c r="F38" s="3">
        <v>17141.666666666668</v>
      </c>
      <c r="G38" s="3">
        <v>22651.333333333332</v>
      </c>
    </row>
    <row r="40" spans="1:7" x14ac:dyDescent="0.25">
      <c r="A40" s="1" t="s">
        <v>11</v>
      </c>
      <c r="B40" t="s">
        <v>19</v>
      </c>
      <c r="C40" t="s">
        <v>20</v>
      </c>
      <c r="D40" t="s">
        <v>21</v>
      </c>
    </row>
    <row r="41" spans="1:7" x14ac:dyDescent="0.25">
      <c r="A41" s="2" t="s">
        <v>6</v>
      </c>
      <c r="B41" s="3">
        <v>20933.333333333332</v>
      </c>
      <c r="C41" s="3">
        <v>10000</v>
      </c>
      <c r="D41" s="3">
        <v>15200</v>
      </c>
    </row>
    <row r="42" spans="1:7" x14ac:dyDescent="0.25">
      <c r="A42" s="2" t="s">
        <v>9</v>
      </c>
      <c r="B42" s="3">
        <v>2433.3333333333335</v>
      </c>
      <c r="C42" s="3">
        <v>965</v>
      </c>
      <c r="D42" s="3">
        <v>750</v>
      </c>
    </row>
    <row r="43" spans="1:7" x14ac:dyDescent="0.25">
      <c r="A43" s="2" t="s">
        <v>7</v>
      </c>
      <c r="B43" s="3">
        <v>18533.333333333332</v>
      </c>
      <c r="C43" s="3">
        <v>10866.666666666666</v>
      </c>
      <c r="D43" s="3">
        <v>10350</v>
      </c>
    </row>
    <row r="44" spans="1:7" x14ac:dyDescent="0.25">
      <c r="A44" s="2" t="s">
        <v>10</v>
      </c>
      <c r="B44" s="3">
        <v>2946.6666666666665</v>
      </c>
      <c r="C44" s="3">
        <v>1240</v>
      </c>
      <c r="D44" s="3">
        <v>1896.6666666666667</v>
      </c>
    </row>
    <row r="45" spans="1:7" x14ac:dyDescent="0.25">
      <c r="A45" s="2" t="s">
        <v>8</v>
      </c>
      <c r="B45" s="3">
        <v>9233.3333333333339</v>
      </c>
      <c r="C45" s="3">
        <v>3483.3333333333335</v>
      </c>
      <c r="D45" s="3">
        <v>4425</v>
      </c>
    </row>
    <row r="46" spans="1:7" x14ac:dyDescent="0.25">
      <c r="A46" s="2" t="s">
        <v>12</v>
      </c>
      <c r="B46" s="3">
        <v>10816</v>
      </c>
      <c r="C46" s="3">
        <v>5311</v>
      </c>
      <c r="D46" s="3">
        <v>6524.333333333333</v>
      </c>
    </row>
    <row r="49" spans="1:2" x14ac:dyDescent="0.25">
      <c r="A49" s="1" t="s">
        <v>11</v>
      </c>
      <c r="B49" t="s">
        <v>16</v>
      </c>
    </row>
    <row r="50" spans="1:2" x14ac:dyDescent="0.25">
      <c r="A50" s="2">
        <v>2019</v>
      </c>
      <c r="B50" s="3">
        <v>20760</v>
      </c>
    </row>
    <row r="51" spans="1:2" x14ac:dyDescent="0.25">
      <c r="A51" s="2">
        <v>2020</v>
      </c>
      <c r="B51" s="3">
        <v>20210</v>
      </c>
    </row>
    <row r="52" spans="1:2" x14ac:dyDescent="0.25">
      <c r="A52" s="2">
        <v>2021</v>
      </c>
      <c r="B52" s="3">
        <v>21798</v>
      </c>
    </row>
    <row r="53" spans="1:2" x14ac:dyDescent="0.25">
      <c r="A53" s="2">
        <v>2022</v>
      </c>
      <c r="B53" s="3">
        <v>23108</v>
      </c>
    </row>
    <row r="54" spans="1:2" x14ac:dyDescent="0.25">
      <c r="A54" s="2">
        <v>2023</v>
      </c>
      <c r="B54" s="3">
        <v>24330</v>
      </c>
    </row>
    <row r="55" spans="1:2" x14ac:dyDescent="0.25">
      <c r="A55" s="2">
        <v>2024</v>
      </c>
      <c r="B55" s="3">
        <v>25702</v>
      </c>
    </row>
    <row r="56" spans="1:2" x14ac:dyDescent="0.25">
      <c r="A56" s="2" t="s">
        <v>12</v>
      </c>
      <c r="B56" s="3">
        <v>22651.333333333332</v>
      </c>
    </row>
  </sheetData>
  <pageMargins left="0.7" right="0.7" top="0.75" bottom="0.75" header="0.3" footer="0.3"/>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A761-2334-4E30-AF28-C77392C4D99C}">
  <dimension ref="A1:P3"/>
  <sheetViews>
    <sheetView showGridLines="0" zoomScaleNormal="100" workbookViewId="0">
      <selection activeCell="U31" sqref="U31"/>
    </sheetView>
  </sheetViews>
  <sheetFormatPr defaultRowHeight="15" x14ac:dyDescent="0.25"/>
  <sheetData>
    <row r="1" spans="1:16" x14ac:dyDescent="0.25">
      <c r="A1" s="4"/>
      <c r="B1" s="4"/>
      <c r="C1" s="4"/>
      <c r="D1" s="4"/>
      <c r="E1" s="4"/>
      <c r="F1" s="4"/>
      <c r="G1" s="4"/>
      <c r="H1" s="4"/>
      <c r="I1" s="4"/>
      <c r="J1" s="4"/>
      <c r="K1" s="4"/>
      <c r="L1" s="4"/>
      <c r="M1" s="4"/>
      <c r="N1" s="4"/>
      <c r="O1" s="4"/>
      <c r="P1" s="4"/>
    </row>
    <row r="2" spans="1:16" ht="26.25" x14ac:dyDescent="0.4">
      <c r="A2" s="5" t="s">
        <v>22</v>
      </c>
      <c r="B2" s="5"/>
      <c r="C2" s="5"/>
      <c r="D2" s="5"/>
      <c r="E2" s="5"/>
      <c r="F2" s="5"/>
      <c r="G2" s="5"/>
      <c r="H2" s="5"/>
      <c r="I2" s="5"/>
      <c r="J2" s="5"/>
      <c r="K2" s="5"/>
      <c r="L2" s="5"/>
      <c r="M2" s="5"/>
      <c r="N2" s="5"/>
      <c r="O2" s="5"/>
      <c r="P2" s="5"/>
    </row>
    <row r="3" spans="1:16" x14ac:dyDescent="0.25">
      <c r="A3" s="4"/>
      <c r="B3" s="4"/>
      <c r="C3" s="4"/>
      <c r="D3" s="4"/>
      <c r="E3" s="4"/>
      <c r="F3" s="4"/>
      <c r="G3" s="4"/>
      <c r="H3" s="4"/>
      <c r="I3" s="4"/>
      <c r="J3" s="4"/>
      <c r="K3" s="4"/>
      <c r="L3" s="4"/>
      <c r="M3" s="4"/>
      <c r="N3" s="4"/>
      <c r="O3" s="4"/>
      <c r="P3" s="4"/>
    </row>
  </sheetData>
  <mergeCells count="1">
    <mergeCell ref="A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vt:lpstr>
      <vt:lpstr>Sheet5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Shamili Ch</dc:creator>
  <cp:lastModifiedBy>Shamili Ch</cp:lastModifiedBy>
  <dcterms:created xsi:type="dcterms:W3CDTF">2026-05-15T04:56:08Z</dcterms:created>
  <dcterms:modified xsi:type="dcterms:W3CDTF">2026-05-15T12:14:23Z</dcterms:modified>
</cp:coreProperties>
</file>